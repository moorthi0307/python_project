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LS VEHICLES " sheetId="1" r:id="rId5"/>
    <sheet state="visible" name="TLS VEHICLES WORK DETAILS " sheetId="2" r:id="rId6"/>
    <sheet state="visible" name="RTORI Highway Patrol" sheetId="3" r:id="rId7"/>
    <sheet state="visible" name="RTOPC" sheetId="4" r:id="rId8"/>
    <sheet state="visible" name="DIWALI DRIVER BONUS DETAIL 2025" sheetId="5" r:id="rId9"/>
    <sheet state="visible" name="Legend" sheetId="6" r:id="rId10"/>
    <sheet state="visible" name="Tyre Raw data" sheetId="7" r:id="rId11"/>
    <sheet state="visible" name="Sheet3" sheetId="8" r:id="rId12"/>
    <sheet state="visible" name="TYRE" sheetId="9" r:id="rId13"/>
  </sheets>
  <definedNames/>
  <calcPr/>
</workbook>
</file>

<file path=xl/sharedStrings.xml><?xml version="1.0" encoding="utf-8"?>
<sst xmlns="http://schemas.openxmlformats.org/spreadsheetml/2006/main" count="4899" uniqueCount="957">
  <si>
    <t>S . NO</t>
  </si>
  <si>
    <t xml:space="preserve"> </t>
  </si>
  <si>
    <t>TIRUPUR LOGISTICS SERVICE</t>
  </si>
  <si>
    <t>DESCRIPTION</t>
  </si>
  <si>
    <t>TLS VEHICLE</t>
  </si>
  <si>
    <t>SVR</t>
  </si>
  <si>
    <t>S.NO</t>
  </si>
  <si>
    <t xml:space="preserve">TUTICORIN RTO </t>
  </si>
  <si>
    <t>S NO</t>
  </si>
  <si>
    <t>FROM</t>
  </si>
  <si>
    <t>NAME</t>
  </si>
  <si>
    <t>CONTACT NO</t>
  </si>
  <si>
    <t>PAY AMOUNT</t>
  </si>
  <si>
    <t>APRIL</t>
  </si>
  <si>
    <t>PAYMENT DATE</t>
  </si>
  <si>
    <t>MAY</t>
  </si>
  <si>
    <t>JUNE</t>
  </si>
  <si>
    <t>JULY</t>
  </si>
  <si>
    <t>AUGUST</t>
  </si>
  <si>
    <t>SEPTEMBER</t>
  </si>
  <si>
    <t>OCTOBER</t>
  </si>
  <si>
    <r>
      <rPr>
        <b/>
        <color rgb="FF000000"/>
        <sz val="10.0"/>
      </rPr>
      <t xml:space="preserve"> </t>
    </r>
    <r>
      <rPr>
        <b/>
        <color rgb="FF000000"/>
        <sz val="10.0"/>
      </rPr>
      <t xml:space="preserve">S.NO  </t>
    </r>
  </si>
  <si>
    <t>NOVEMBER</t>
  </si>
  <si>
    <t>DECEMBER</t>
  </si>
  <si>
    <t>JANUARY</t>
  </si>
  <si>
    <t>FEBRUARY</t>
  </si>
  <si>
    <t>MARCH</t>
  </si>
  <si>
    <t>ARUPUKOTTAI RTO</t>
  </si>
  <si>
    <t>TIRUPUR</t>
  </si>
  <si>
    <t>VEHICLE NO</t>
  </si>
  <si>
    <t>RTO - DINESH</t>
  </si>
  <si>
    <t>ARUPUKOTTAI  RI</t>
  </si>
  <si>
    <t xml:space="preserve">VEHICLE NO </t>
  </si>
  <si>
    <t>A\C -CLASS</t>
  </si>
  <si>
    <t>BODY TYPE</t>
  </si>
  <si>
    <t>INSURANCE</t>
  </si>
  <si>
    <t>VIRUDUNAGAR SQUAD</t>
  </si>
  <si>
    <t>PERMIT</t>
  </si>
  <si>
    <t>ENGINE OIL</t>
  </si>
  <si>
    <t>GREASE  PACKING</t>
  </si>
  <si>
    <t>SRIVILLIPUTHUR SQUAD</t>
  </si>
  <si>
    <t xml:space="preserve">FC </t>
  </si>
  <si>
    <t>PIN PUSH</t>
  </si>
  <si>
    <t>Q\TAX</t>
  </si>
  <si>
    <t xml:space="preserve">PUC </t>
  </si>
  <si>
    <t>MADURAI RTO</t>
  </si>
  <si>
    <r>
      <rPr>
        <b/>
        <color rgb="FF000000"/>
        <sz val="11.0"/>
      </rPr>
      <t xml:space="preserve"> </t>
    </r>
    <r>
      <rPr>
        <b/>
        <color rgb="FF000000"/>
        <sz val="11.0"/>
      </rPr>
      <t xml:space="preserve">S.NO  </t>
    </r>
  </si>
  <si>
    <t>ENFOREMENT</t>
  </si>
  <si>
    <t>MADURAI RI</t>
  </si>
  <si>
    <t>VIRUTHACHALAM</t>
  </si>
  <si>
    <t>RTO  - SENTHIL, 
          LOKESH</t>
  </si>
  <si>
    <t>9629634007
9514710614</t>
  </si>
  <si>
    <t>MURUGESAN</t>
  </si>
  <si>
    <t>MADURAI ( THENPANDI )</t>
  </si>
  <si>
    <t>AVINASHI</t>
  </si>
  <si>
    <t xml:space="preserve">RTO - VIGNESH , COIMBARORE SQUAD </t>
  </si>
  <si>
    <t>MADURAI ( MANI )</t>
  </si>
  <si>
    <t>TN 69 BC 9010</t>
  </si>
  <si>
    <t>THURAIYUR</t>
  </si>
  <si>
    <t>RTO - SELVKUMAR</t>
  </si>
  <si>
    <t>TLS - 12  W</t>
  </si>
  <si>
    <t>GEAR BOX OIL</t>
  </si>
  <si>
    <t>TIPPER</t>
  </si>
  <si>
    <t>MADURAI CENTRAL</t>
  </si>
  <si>
    <t>BRAKE INSPECTOR - VENKATESH, MANI</t>
  </si>
  <si>
    <t>CLUTCH OIL</t>
  </si>
  <si>
    <t>CROWN OIL</t>
  </si>
  <si>
    <t>SULUR</t>
  </si>
  <si>
    <t>BRAKE INSPECTOR - VENKATESH</t>
  </si>
  <si>
    <t>MADURAI NORTH RTO</t>
  </si>
  <si>
    <t>3- MONTH 
24-05-2025</t>
  </si>
  <si>
    <t>DATE</t>
  </si>
  <si>
    <t>OLD KM</t>
  </si>
  <si>
    <t>MELUR RTO</t>
  </si>
  <si>
    <t>CURRENT KM</t>
  </si>
  <si>
    <t>TN</t>
  </si>
  <si>
    <t>MANAPARAI RTO</t>
  </si>
  <si>
    <t>KULITHALAI</t>
  </si>
  <si>
    <t>HIGHWAY PATROL - GUNA</t>
  </si>
  <si>
    <t xml:space="preserve">OLD KM </t>
  </si>
  <si>
    <t xml:space="preserve"> CURRENT KM </t>
  </si>
  <si>
    <t>VATHALAKUNDU RTO</t>
  </si>
  <si>
    <t>PERAMBALUR</t>
  </si>
  <si>
    <t>HIGHWAY PATROL - VEERAMANI</t>
  </si>
  <si>
    <t>KM</t>
  </si>
  <si>
    <t xml:space="preserve">MADURAI ANITHA </t>
  </si>
  <si>
    <t>HIGHWAY PATROL - VEERAMUTHU</t>
  </si>
  <si>
    <t>PLACE</t>
  </si>
  <si>
    <t>SOUTH</t>
  </si>
  <si>
    <t>KANGEYAM</t>
  </si>
  <si>
    <t>TRAFFIC INSPECTOR -MARY</t>
  </si>
  <si>
    <t>DINDUGAL - inspector dharchana moorthy</t>
  </si>
  <si>
    <t>TRAFFIC INSPECTOR - ASOKAN</t>
  </si>
  <si>
    <t>TN 69 BH 1175</t>
  </si>
  <si>
    <t>DINDUGAL RTO</t>
  </si>
  <si>
    <t>TRAFFIC INSPECTOR - KILLIVALAVAN</t>
  </si>
  <si>
    <t>TRAFFIC SUBINSPECTOR - SOMU</t>
  </si>
  <si>
    <t>DINDUGAL SQUAD</t>
  </si>
  <si>
    <t>TRAFFIC SUBINSPECTOR - ABDULLAH</t>
  </si>
  <si>
    <t>DINDUGAL SI THILIPKUMAR</t>
  </si>
  <si>
    <t>TRAFFIC SUBINSPECTOR - MUTHAIYA</t>
  </si>
  <si>
    <t>THIS VEHICLE SALE</t>
  </si>
  <si>
    <t>TIRUMANGALAM RI</t>
  </si>
  <si>
    <t>PC - RAMESH</t>
  </si>
  <si>
    <t>TN 69 BC 9030</t>
  </si>
  <si>
    <t>PC - GOBI</t>
  </si>
  <si>
    <t>THENNILAI</t>
  </si>
  <si>
    <t>JEEP DRIVER - ELANGO</t>
  </si>
  <si>
    <t>TIRUMANGALAM HIGHWAY</t>
  </si>
  <si>
    <t>UTHUKULI</t>
  </si>
  <si>
    <t>SI</t>
  </si>
  <si>
    <t>TIRUMANGALAM TOWN</t>
  </si>
  <si>
    <t>TUTICORIN</t>
  </si>
  <si>
    <t>HIGHWAY PETROL - PRASANTH</t>
  </si>
  <si>
    <t>SAMAYANALLUR</t>
  </si>
  <si>
    <t xml:space="preserve">OTTANCHATHIRAM </t>
  </si>
  <si>
    <t>TRICHY</t>
  </si>
  <si>
    <t>PUNNIYAMOORTHY</t>
  </si>
  <si>
    <t>DHARAPURAM RI</t>
  </si>
  <si>
    <t>TRAFFIC SI STEPHEN</t>
  </si>
  <si>
    <t>TN 69 BC 9585</t>
  </si>
  <si>
    <t>TN 69 BC 9063</t>
  </si>
  <si>
    <t>DHARAPURAM RTO</t>
  </si>
  <si>
    <t xml:space="preserve">PALLADAM </t>
  </si>
  <si>
    <t>SATHYAMANGALAM</t>
  </si>
  <si>
    <t>AVINASHI RI</t>
  </si>
  <si>
    <t>TIRUPUR NORTH RI</t>
  </si>
  <si>
    <t xml:space="preserve">TN 69 BJ 1375 </t>
  </si>
  <si>
    <t>TIRUPUR SOUTH</t>
  </si>
  <si>
    <t>ARIYALUR RI ( KARTHIK )</t>
  </si>
  <si>
    <t>ARIYALUR  ( ULAGANATHAN )</t>
  </si>
  <si>
    <t>LALKUDI ( STEPHEN )</t>
  </si>
  <si>
    <t>TN 69 BJ 1275</t>
  </si>
  <si>
    <t>KOVILPATTI RI</t>
  </si>
  <si>
    <t>KOVILPATTI SI</t>
  </si>
  <si>
    <t>SATTUR ( VIJAYKANTH )</t>
  </si>
  <si>
    <t>TN 69 BC 9500</t>
  </si>
  <si>
    <t>SATTUR ( SENTHIL )</t>
  </si>
  <si>
    <t>SATTUR ( ANAND )</t>
  </si>
  <si>
    <t>SATTUR SI</t>
  </si>
  <si>
    <t xml:space="preserve">ETTAIYAPURAM </t>
  </si>
  <si>
    <t>TRICHY RI</t>
  </si>
  <si>
    <t>ATTUR HIGYWAY PATROL</t>
  </si>
  <si>
    <t>TN 69 BF 8575</t>
  </si>
  <si>
    <t>THOLUTHUR HIGHWAY PATROL</t>
  </si>
  <si>
    <t>TRAFFIC - RAMARAJ</t>
  </si>
  <si>
    <t>PERAMBALUR HIGHWAY</t>
  </si>
  <si>
    <t>TN 69 BH 1675</t>
  </si>
  <si>
    <t>FLYING SQUAD - SELVAKUMAR</t>
  </si>
  <si>
    <t>VIRALIMALAI HIGHWAY PATROL</t>
  </si>
  <si>
    <t>TLS - 14  W</t>
  </si>
  <si>
    <t>AV INASHI RTO
COIMBATORE SQUAD } - MOORTHY</t>
  </si>
  <si>
    <t>10000
14000</t>
  </si>
  <si>
    <t>TRICHY HIGHY WAY PATROL</t>
  </si>
  <si>
    <t>ARIYALUR HIGHWAY PATROL</t>
  </si>
  <si>
    <t>TN 69 BF 8675</t>
  </si>
  <si>
    <t>KUNNAM HIGHWAY PATROL</t>
  </si>
  <si>
    <t>NAMAKAL RTO</t>
  </si>
  <si>
    <t>NOCHIYAM - PUNNIYAMOORTHY</t>
  </si>
  <si>
    <t>TN 69 BF 9475</t>
  </si>
  <si>
    <t>TN 69 BF 9575</t>
  </si>
  <si>
    <t>MADURAI NORTH SQUAD</t>
  </si>
  <si>
    <t>VADIPATTI</t>
  </si>
  <si>
    <t xml:space="preserve">FIN </t>
  </si>
  <si>
    <t>SALEM</t>
  </si>
  <si>
    <t>RTO - KUTTY</t>
  </si>
  <si>
    <t xml:space="preserve">ANNUR HIGHWAY PATROL </t>
  </si>
  <si>
    <t>THOTTIYAM HIGHWAY</t>
  </si>
  <si>
    <t>TN 42 AM 1875</t>
  </si>
  <si>
    <t>NALLUR</t>
  </si>
  <si>
    <t>VIRUDUNAGAR RTO</t>
  </si>
  <si>
    <t>PARANJOTHI</t>
  </si>
  <si>
    <t>RTO DETAILS</t>
  </si>
  <si>
    <t>AMOUNT</t>
  </si>
  <si>
    <t>TIRUPUR - RTO ( DINESH )</t>
  </si>
  <si>
    <t>2025-2026</t>
  </si>
  <si>
    <t>PALLADAM</t>
  </si>
  <si>
    <t>VIEUTHACHALAM - RTO ( SENTHIL )</t>
  </si>
  <si>
    <t>TLS</t>
  </si>
  <si>
    <t>26-01-2026</t>
  </si>
  <si>
    <t xml:space="preserve">AVINASHI - RTO ( VIGNESH ) , COIMBARORE SQUAD </t>
  </si>
  <si>
    <t>TN 42 AQ 5275</t>
  </si>
  <si>
    <t>THURAIYUR - RTO - ( SELVAKUMAR )</t>
  </si>
  <si>
    <t xml:space="preserve">SVR AND TLS </t>
  </si>
  <si>
    <t>TIRUPUR- BRAKE INSPECTOR ( VENKATESH )</t>
  </si>
  <si>
    <t xml:space="preserve">PAYMENT </t>
  </si>
  <si>
    <t>SULUR - BRAKE INSPECTOR ( VENKATESH )</t>
  </si>
  <si>
    <t>TN  42 AQ 5375</t>
  </si>
  <si>
    <t>KULITHALAI - HIGHWAY PATROL ( GUNA )</t>
  </si>
  <si>
    <t>PERAMBALUR - HIGHWAY PATROL ( VEERAMANI )</t>
  </si>
  <si>
    <t>TN 42 AQ 5375</t>
  </si>
  <si>
    <t>PERAMBALUR - HIGHWAY PATROL ( VEERAMUTHU )</t>
  </si>
  <si>
    <t>KANGEYAM - TRAFFIC INSPECTOR ( MARY )</t>
  </si>
  <si>
    <t>KULITHALAI - TRAFFIC INSPECTOR ( ASOKAN )</t>
  </si>
  <si>
    <t>PERAMBALUR - TRAFFIC INSPECTOR ( KILLIVALAVAN )</t>
  </si>
  <si>
    <t>THURAIYUR - TRAFFIC SUBINSPECTOR ( SOMU )</t>
  </si>
  <si>
    <t>THURAIYUR - TRAFFIC SUBINSPECTOR ( ABDULLAH )</t>
  </si>
  <si>
    <t>PERAMBALUR - TRAFFIC SUBINSPECTOR ( MUTHAIYA )</t>
  </si>
  <si>
    <t>VELLAKOVIL - INSPECTOR ( JEGANNATHAN )</t>
  </si>
  <si>
    <t>UTHUKULI - SI</t>
  </si>
  <si>
    <t>KANGEYAM - PC ( RAMESH )</t>
  </si>
  <si>
    <t>KOVILPATTI RTO</t>
  </si>
  <si>
    <t>KULITHALAI - PC ( GOBI )</t>
  </si>
  <si>
    <t>-</t>
  </si>
  <si>
    <t>VELLAKOVIL - JEEP DRIVER ( ELANGO )</t>
  </si>
  <si>
    <t>KULITHALAI - HIGHWAY PETROL - PRASANTH</t>
  </si>
  <si>
    <t>AVINASHI - RTO ( VIGNESH )</t>
  </si>
  <si>
    <t>TRICHY - PUNNIYAMOORTHY</t>
  </si>
  <si>
    <t>TN 69 BJ 1375</t>
  </si>
  <si>
    <t xml:space="preserve">COIMBARORE SQUAD </t>
  </si>
  <si>
    <t>TRICHY - FLYING SQUAD - SELVAKUMAR</t>
  </si>
  <si>
    <t>PERAMBALUR  - TRAFFIC - RAMRAJ</t>
  </si>
  <si>
    <t>SELAM - RTO - KUTTY</t>
  </si>
  <si>
    <t>NALLUR - PARANJOTHI</t>
  </si>
  <si>
    <t>TLS - 16  W</t>
  </si>
  <si>
    <t>TOTAL</t>
  </si>
  <si>
    <t>AUG</t>
  </si>
  <si>
    <t xml:space="preserve">KANGEYAM </t>
  </si>
  <si>
    <t>TRAFFIC - RAMESH</t>
  </si>
  <si>
    <t>SULUR 
COIMBATORE</t>
  </si>
  <si>
    <t>SQUAD ,PC - VENKATESH</t>
  </si>
  <si>
    <t>2 MONTHS
MARCH , APRIL</t>
  </si>
  <si>
    <t>15-05-2026
SULUR &amp; TIRUPUR RTO</t>
  </si>
  <si>
    <t>26-06-2026
SULUR &amp; TIRUPUR RTO</t>
  </si>
  <si>
    <t>31-07-2026
SULUR &amp; TIRUPUR RTO</t>
  </si>
  <si>
    <t>TRICHY, KULITHALAI</t>
  </si>
  <si>
    <t>INSPECTOR - PUNNIYAMOORTHI</t>
  </si>
  <si>
    <t xml:space="preserve">THURAIYUR - RTO </t>
  </si>
  <si>
    <t>NEW</t>
  </si>
  <si>
    <t xml:space="preserve">PERAMBALUR </t>
  </si>
  <si>
    <t>HIGHWAY PATROL - KRISHNAMOORTHI</t>
  </si>
  <si>
    <t>OLD</t>
  </si>
  <si>
    <t>MADURAI RTO SOUTH</t>
  </si>
  <si>
    <t>TRAFFIC SI - STEPHEN</t>
  </si>
  <si>
    <t>09-05-2026
APRIL , MAY</t>
  </si>
  <si>
    <t>TRICHY , COIMBATORE, LALGUDI</t>
  </si>
  <si>
    <t>RTO - SALEM KUTTY</t>
  </si>
  <si>
    <t>MADURAI RI MURUGESAN</t>
  </si>
  <si>
    <t>CHANDRASEKAR</t>
  </si>
  <si>
    <t>TRAFFIC - DINAKARAN</t>
  </si>
  <si>
    <t>12 MONTHS</t>
  </si>
  <si>
    <t>7 MONTHS</t>
  </si>
  <si>
    <t>TN 42 AT 7875</t>
  </si>
  <si>
    <t>COOLANT</t>
  </si>
  <si>
    <t>3 YEARS</t>
  </si>
  <si>
    <t>18 MONTHS</t>
  </si>
  <si>
    <t>MADURAI ANITHA ENFOREMENT</t>
  </si>
  <si>
    <t>POWER STEERING OIL</t>
  </si>
  <si>
    <t>HUB GREASING</t>
  </si>
  <si>
    <t>TN 42 AT 7975</t>
  </si>
  <si>
    <r>
      <rPr>
        <b/>
        <color rgb="FF000000"/>
        <sz val="11.0"/>
      </rPr>
      <t xml:space="preserve"> </t>
    </r>
    <r>
      <rPr>
        <b/>
        <color rgb="FF000000"/>
        <sz val="11.0"/>
      </rPr>
      <t xml:space="preserve">S.NO  </t>
    </r>
  </si>
  <si>
    <t>TN 42 AU 5275</t>
  </si>
  <si>
    <t>EXTRA 
ENGINE OIL</t>
  </si>
  <si>
    <t>SANGAGIRI</t>
  </si>
  <si>
    <t>TN 42 AU 5375</t>
  </si>
  <si>
    <t>16-11-2025
3 LTR</t>
  </si>
  <si>
    <t>TN 42 AU 5475</t>
  </si>
  <si>
    <t>06-11-2025
4 LTR</t>
  </si>
  <si>
    <t>TN 42 AU 5875</t>
  </si>
  <si>
    <t>19-11-2025
3 LTR</t>
  </si>
  <si>
    <t>TUT</t>
  </si>
  <si>
    <t>TN 42 AU 7075</t>
  </si>
  <si>
    <t xml:space="preserve">TN </t>
  </si>
  <si>
    <t>06-11-2025
5 LTR</t>
  </si>
  <si>
    <t>KM SERVICE</t>
  </si>
  <si>
    <t>BILL DATE</t>
  </si>
  <si>
    <t>BILL AMOUNT</t>
  </si>
  <si>
    <t>TVS</t>
  </si>
  <si>
    <t>TN 42 AU 7175</t>
  </si>
  <si>
    <t>* ENGINE OIL
* GREASE PACKING</t>
  </si>
  <si>
    <t>KM SERIVICE</t>
  </si>
  <si>
    <t>* ENGINE OIL
* GREASE PACKING
* GEAR BOX OIL</t>
  </si>
  <si>
    <t>* GEAR BOX OIL</t>
  </si>
  <si>
    <t>PRABHU AUTO STORE</t>
  </si>
  <si>
    <t>INV NO : 1731</t>
  </si>
  <si>
    <t>TRICHY SI</t>
  </si>
  <si>
    <t>INV NO : 1732</t>
  </si>
  <si>
    <t>INV NO : 1733</t>
  </si>
  <si>
    <t>INV NO : 1734</t>
  </si>
  <si>
    <t>INV NO : 1735</t>
  </si>
  <si>
    <t>INV NO : 1736</t>
  </si>
  <si>
    <t>INV NO : 1737</t>
  </si>
  <si>
    <t>INV NO : 1738</t>
  </si>
  <si>
    <t>INV NO : 1739</t>
  </si>
  <si>
    <t>INV NO : 1740</t>
  </si>
  <si>
    <t>INV NO : 1741</t>
  </si>
  <si>
    <t>INV NO : 1742</t>
  </si>
  <si>
    <t>INV NO : 1743</t>
  </si>
  <si>
    <t>INV NO : 1744</t>
  </si>
  <si>
    <t>INV NO : 1745</t>
  </si>
  <si>
    <t>INV NO : 1746</t>
  </si>
  <si>
    <t>INV NO : 1747</t>
  </si>
  <si>
    <t>INV NO : 1748</t>
  </si>
  <si>
    <t>TN 42 AK 1355</t>
  </si>
  <si>
    <t>INV NO : 1749</t>
  </si>
  <si>
    <t>DIWALI BONUS 2025</t>
  </si>
  <si>
    <t>INV NO : 1767</t>
  </si>
  <si>
    <t>STORE</t>
  </si>
  <si>
    <t>INV NO : 2034</t>
  </si>
  <si>
    <t>INV NO : 2035</t>
  </si>
  <si>
    <t>INV NO : 2036</t>
  </si>
  <si>
    <t>INV NO : 2037</t>
  </si>
  <si>
    <t>DRIVER NAME</t>
  </si>
  <si>
    <t xml:space="preserve">YEAR </t>
  </si>
  <si>
    <t>INV NO : 2038</t>
  </si>
  <si>
    <t>INV NO : 2039</t>
  </si>
  <si>
    <t>INV NO : 2040</t>
  </si>
  <si>
    <t>KARAIKAL RTO</t>
  </si>
  <si>
    <t>YEARS</t>
  </si>
  <si>
    <t>INV NO : 2041</t>
  </si>
  <si>
    <t>INV NO : 2042</t>
  </si>
  <si>
    <t>SAMAYAPURAM RI</t>
  </si>
  <si>
    <t>MANIKANDAN</t>
  </si>
  <si>
    <t>INV NO : 2043</t>
  </si>
  <si>
    <t>4 YEARS</t>
  </si>
  <si>
    <t>MEENACHI LATH</t>
  </si>
  <si>
    <t>INV NO : 2044</t>
  </si>
  <si>
    <t>TIRUNELVELI RTO</t>
  </si>
  <si>
    <t>INV NO : 2045</t>
  </si>
  <si>
    <t>THANGAMARIAPPAN</t>
  </si>
  <si>
    <t>THIRUCHANGODE HIGHWAY PATROL</t>
  </si>
  <si>
    <t>INV NO : 2047</t>
  </si>
  <si>
    <t>BALA BATTERY</t>
  </si>
  <si>
    <t>RAVIKUMAR</t>
  </si>
  <si>
    <t>KOVILPATTI SR</t>
  </si>
  <si>
    <t>INV NO : 2048</t>
  </si>
  <si>
    <t>ARUMUGAM MECHANIC</t>
  </si>
  <si>
    <t>2 YEARS</t>
  </si>
  <si>
    <t>ANTHONY MICHAEL</t>
  </si>
  <si>
    <t>BALA MECHANIC</t>
  </si>
  <si>
    <t>DALMIAPURAM HIGHWAY PATROL</t>
  </si>
  <si>
    <t>INV NO : 2049</t>
  </si>
  <si>
    <t>MAHENDRAN</t>
  </si>
  <si>
    <t>PAINTER MUTHUKUMAR</t>
  </si>
  <si>
    <t>8 YEARS</t>
  </si>
  <si>
    <t>MANOJ</t>
  </si>
  <si>
    <t>INV NO : 2050</t>
  </si>
  <si>
    <t>KALI PATTAI KATU</t>
  </si>
  <si>
    <t>KASIPANDI</t>
  </si>
  <si>
    <t>ANNAMALAI PATTAI KATU</t>
  </si>
  <si>
    <t>VELAKKAVUNDANPATTI SI</t>
  </si>
  <si>
    <t>RAJ</t>
  </si>
  <si>
    <t>INV NO : 2051</t>
  </si>
  <si>
    <t>MRF RETREATS</t>
  </si>
  <si>
    <t>SEENICHAMI</t>
  </si>
  <si>
    <t>KARTHIK TREADS</t>
  </si>
  <si>
    <t>INV NO : 2054</t>
  </si>
  <si>
    <t>ARULRAJ</t>
  </si>
  <si>
    <t>KARUPPASAMY TINKER</t>
  </si>
  <si>
    <t>JEYAKONDAM HIGHWAY PATROL</t>
  </si>
  <si>
    <t>RAJENDRAN</t>
  </si>
  <si>
    <t>INV NO : 2055</t>
  </si>
  <si>
    <t>PRABHU ELECTRICEN</t>
  </si>
  <si>
    <t>1 YEAR</t>
  </si>
  <si>
    <t>NAGARAJAN</t>
  </si>
  <si>
    <t>VIJAY ELECTRICEN</t>
  </si>
  <si>
    <t>INV NO : 2056</t>
  </si>
  <si>
    <t>GURUNATHAN</t>
  </si>
  <si>
    <t>SELVAM TINKER</t>
  </si>
  <si>
    <t>MARIMUTHU</t>
  </si>
  <si>
    <t>THARBHAI</t>
  </si>
  <si>
    <t>INV NO : 2057</t>
  </si>
  <si>
    <t>MARIYAPPAN . N</t>
  </si>
  <si>
    <t>SATTUR SR</t>
  </si>
  <si>
    <t>PRABHU AUTO MOBILES</t>
  </si>
  <si>
    <t>KASIRAJAN</t>
  </si>
  <si>
    <t>INV NO : 2058</t>
  </si>
  <si>
    <t>NACHIYAR AUTO MOBILES</t>
  </si>
  <si>
    <t>MARISELVAM . P</t>
  </si>
  <si>
    <t>6 MONTHS</t>
  </si>
  <si>
    <t>SHIVA PATTAI KATU</t>
  </si>
  <si>
    <t>MUTHU SELVAM</t>
  </si>
  <si>
    <t>INV NO : 2059</t>
  </si>
  <si>
    <t>PANDI</t>
  </si>
  <si>
    <t>SAKTHI VELMURUGAN . K</t>
  </si>
  <si>
    <t>3 MONTHS</t>
  </si>
  <si>
    <t>INV NO : 2060</t>
  </si>
  <si>
    <t>CM BUNK</t>
  </si>
  <si>
    <t xml:space="preserve">PERUMALSAMY </t>
  </si>
  <si>
    <t>4 MONTHS</t>
  </si>
  <si>
    <t>PERUMAL  . P</t>
  </si>
  <si>
    <t>INV NO : 2061</t>
  </si>
  <si>
    <t>2 MONTHS</t>
  </si>
  <si>
    <t>TOTAL ( B )</t>
  </si>
  <si>
    <t>INV NO : 2062</t>
  </si>
  <si>
    <t>ANBUKUMAR . T</t>
  </si>
  <si>
    <t>INV NO : 2063</t>
  </si>
  <si>
    <t>RAMACHANTHIRAN</t>
  </si>
  <si>
    <t>VELLAIPANDI . M</t>
  </si>
  <si>
    <t>1 MONTH</t>
  </si>
  <si>
    <t>INV NO : 2322</t>
  </si>
  <si>
    <t>DIWALI BONUS</t>
  </si>
  <si>
    <t>KANNAN . M</t>
  </si>
  <si>
    <t>INV NO : 2323</t>
  </si>
  <si>
    <t>DRIVER ( A )</t>
  </si>
  <si>
    <t>INV NO : 2324</t>
  </si>
  <si>
    <t>ARUNKUMAR</t>
  </si>
  <si>
    <t>SHOP ( B )</t>
  </si>
  <si>
    <t>INV NO : 2325</t>
  </si>
  <si>
    <t>THANGARAJ . S</t>
  </si>
  <si>
    <t>VIJAYAKUMAR</t>
  </si>
  <si>
    <t>INV NO : 2326</t>
  </si>
  <si>
    <t>TOTAL BONUS ( A) + ( B )</t>
  </si>
  <si>
    <t>INV NO : 2327</t>
  </si>
  <si>
    <t>ARIVALAGAN . V</t>
  </si>
  <si>
    <t>INV NO : 2328</t>
  </si>
  <si>
    <t>RAMESH .M</t>
  </si>
  <si>
    <t>UDHAYAKUMAR . K</t>
  </si>
  <si>
    <t>INV NO : 2329</t>
  </si>
  <si>
    <t>KARTHIKRAJA . P</t>
  </si>
  <si>
    <t>RAJA</t>
  </si>
  <si>
    <t>INV NO : 2330</t>
  </si>
  <si>
    <t>KALAIMAAN</t>
  </si>
  <si>
    <t>DHARMADURAI</t>
  </si>
  <si>
    <t>INV NO : 2331</t>
  </si>
  <si>
    <t>MAGARAJAN</t>
  </si>
  <si>
    <t>MUTHUKUTTY</t>
  </si>
  <si>
    <t>INV NO : 2332</t>
  </si>
  <si>
    <t>INV NO : 2333</t>
  </si>
  <si>
    <t>INV NO : 2334</t>
  </si>
  <si>
    <t>TOTAL ( A )</t>
  </si>
  <si>
    <t>INV NO : 2335</t>
  </si>
  <si>
    <t>INV NO : 2336</t>
  </si>
  <si>
    <t>EXTRA FINE</t>
  </si>
  <si>
    <t>INV NO : 2337</t>
  </si>
  <si>
    <t>TRICHY RTO</t>
  </si>
  <si>
    <t>INV NO : 2338</t>
  </si>
  <si>
    <t>INV NO : 2339</t>
  </si>
  <si>
    <t>INV NO : 2340</t>
  </si>
  <si>
    <t>INV NO : 2341</t>
  </si>
  <si>
    <t>INV NO : 2342</t>
  </si>
  <si>
    <t>INV NO : 2343</t>
  </si>
  <si>
    <t>INV NO : 2344</t>
  </si>
  <si>
    <t>INV NO : 2345</t>
  </si>
  <si>
    <t>INV NO : 2668</t>
  </si>
  <si>
    <t>INV NO : 2669</t>
  </si>
  <si>
    <t>INV NO : 2670</t>
  </si>
  <si>
    <t>INV NO : 2671</t>
  </si>
  <si>
    <t>TIRUCHENGODE HIGHWAY PATROIL</t>
  </si>
  <si>
    <t>INV NO : 2672</t>
  </si>
  <si>
    <t>INV NO : 2673</t>
  </si>
  <si>
    <t>INV NO : 2674</t>
  </si>
  <si>
    <t>INV NO : 2675</t>
  </si>
  <si>
    <t>VELAGOUNDAMPATTI ( SI )</t>
  </si>
  <si>
    <t>INV NO : 2676</t>
  </si>
  <si>
    <t>INV NO : 2677</t>
  </si>
  <si>
    <t>INV NO : 2678</t>
  </si>
  <si>
    <t xml:space="preserve">TOTAL AMOUNT </t>
  </si>
  <si>
    <t>INV NO : 2679</t>
  </si>
  <si>
    <t>INV NO : 2680</t>
  </si>
  <si>
    <t>INV NO : 2681</t>
  </si>
  <si>
    <t>INV NO : 2682</t>
  </si>
  <si>
    <t>INV NO : 2683</t>
  </si>
  <si>
    <t>INV NO : 2684</t>
  </si>
  <si>
    <t>2026 - 2027</t>
  </si>
  <si>
    <t>INV NO : 2685</t>
  </si>
  <si>
    <t>INV NO : 2686</t>
  </si>
  <si>
    <t>INV NO : 2687</t>
  </si>
  <si>
    <t>INV NO : 2688</t>
  </si>
  <si>
    <t>INV NO : 2696</t>
  </si>
  <si>
    <t>INV NO : 2697</t>
  </si>
  <si>
    <t>INV NO : 2698</t>
  </si>
  <si>
    <t>INV NO : 2702</t>
  </si>
  <si>
    <t>INV NO : 2997</t>
  </si>
  <si>
    <t>ETTAIYAPURAM  SI</t>
  </si>
  <si>
    <t>INV NO : 2998</t>
  </si>
  <si>
    <t>INV NO : 2999</t>
  </si>
  <si>
    <t>INV NO : 3000</t>
  </si>
  <si>
    <t>INV NO : 3001</t>
  </si>
  <si>
    <t>INV NO : 3002</t>
  </si>
  <si>
    <t xml:space="preserve">VIRUDUNAGAR SQUAD </t>
  </si>
  <si>
    <t>INV NO : 3003</t>
  </si>
  <si>
    <t>INV NO : 3004</t>
  </si>
  <si>
    <t>INV NO : 3005</t>
  </si>
  <si>
    <t>INV NO : 3006</t>
  </si>
  <si>
    <t>INV NO : 3007</t>
  </si>
  <si>
    <t>INV NO : 3008</t>
  </si>
  <si>
    <t xml:space="preserve">MADURAI RTO  NORTH </t>
  </si>
  <si>
    <t>INV NO : 3009</t>
  </si>
  <si>
    <t>INV NO : 3010</t>
  </si>
  <si>
    <t>INV NO : 3011</t>
  </si>
  <si>
    <t>INV NO : 3012</t>
  </si>
  <si>
    <t>INV NO : 3013</t>
  </si>
  <si>
    <t>INV NO : 3014</t>
  </si>
  <si>
    <t>INV NO : 3015</t>
  </si>
  <si>
    <t>INV NO : 3016</t>
  </si>
  <si>
    <t>INV NO : 3017</t>
  </si>
  <si>
    <t>INV NO : 3018</t>
  </si>
  <si>
    <t>INV NO : 3019</t>
  </si>
  <si>
    <t>INV NO : 3023</t>
  </si>
  <si>
    <t>PALLADAM RI</t>
  </si>
  <si>
    <t>SATHYAMANGALAM RI</t>
  </si>
  <si>
    <t>Truck Number</t>
  </si>
  <si>
    <t>Tyre Type</t>
  </si>
  <si>
    <t>Position</t>
  </si>
  <si>
    <t>New</t>
  </si>
  <si>
    <t>Front Left</t>
  </si>
  <si>
    <t>S1M4</t>
  </si>
  <si>
    <t xml:space="preserve">SET </t>
  </si>
  <si>
    <t>FRIENDS TYRE</t>
  </si>
  <si>
    <t>EXPLODED</t>
  </si>
  <si>
    <t>Retread</t>
  </si>
  <si>
    <t>Front Right</t>
  </si>
  <si>
    <t>S3C8</t>
  </si>
  <si>
    <t>REUSE</t>
  </si>
  <si>
    <t>SINGLE</t>
  </si>
  <si>
    <t>SRI AGNI TYRES</t>
  </si>
  <si>
    <t xml:space="preserve">TLS </t>
  </si>
  <si>
    <t xml:space="preserve">DAMAGE </t>
  </si>
  <si>
    <t>Reuse</t>
  </si>
  <si>
    <t>Second Left</t>
  </si>
  <si>
    <t xml:space="preserve">JUH JK </t>
  </si>
  <si>
    <t>REBELT</t>
  </si>
  <si>
    <t>THIRUMALA TYRES</t>
  </si>
  <si>
    <t>CAP</t>
  </si>
  <si>
    <t>Secont Right</t>
  </si>
  <si>
    <t>APOLLO</t>
  </si>
  <si>
    <t>RETREAD</t>
  </si>
  <si>
    <t>KALYANI TYRES</t>
  </si>
  <si>
    <t>CASSING</t>
  </si>
  <si>
    <t>Lift Left</t>
  </si>
  <si>
    <t>JK JDC</t>
  </si>
  <si>
    <t>CAP TYRE</t>
  </si>
  <si>
    <t>Lift Right</t>
  </si>
  <si>
    <t>S3P4</t>
  </si>
  <si>
    <t>CM TRES</t>
  </si>
  <si>
    <t>Housing Left Outer</t>
  </si>
  <si>
    <t>S3K4</t>
  </si>
  <si>
    <t xml:space="preserve">MRF RETREAD </t>
  </si>
  <si>
    <t>Housing Left Inner</t>
  </si>
  <si>
    <t>JDE++</t>
  </si>
  <si>
    <t>TUT OFFICE</t>
  </si>
  <si>
    <t>Housing Right Outer</t>
  </si>
  <si>
    <t>JK CONDINATAL</t>
  </si>
  <si>
    <t>CLAIM</t>
  </si>
  <si>
    <t>Housing Right Inner</t>
  </si>
  <si>
    <t>S1R4</t>
  </si>
  <si>
    <t>Dead Left Outer</t>
  </si>
  <si>
    <t>S241</t>
  </si>
  <si>
    <t>Dead Left Inner</t>
  </si>
  <si>
    <t>S124</t>
  </si>
  <si>
    <t>Dead Right Outer</t>
  </si>
  <si>
    <t>S3C9</t>
  </si>
  <si>
    <t>Dead Right Inner</t>
  </si>
  <si>
    <t>S3C10</t>
  </si>
  <si>
    <t>TIME</t>
  </si>
  <si>
    <t>#</t>
  </si>
  <si>
    <t xml:space="preserve">DATE </t>
  </si>
  <si>
    <t>Type</t>
  </si>
  <si>
    <t>MODEL</t>
  </si>
  <si>
    <t>Count</t>
  </si>
  <si>
    <t>Tyre 1</t>
  </si>
  <si>
    <t>Tyre 2</t>
  </si>
  <si>
    <t>Odo</t>
  </si>
  <si>
    <t>Driver</t>
  </si>
  <si>
    <t>New Tyre Dealer</t>
  </si>
  <si>
    <t>Old Number</t>
  </si>
  <si>
    <t>New Number</t>
  </si>
  <si>
    <t xml:space="preserve">S3C8 </t>
  </si>
  <si>
    <t>Set</t>
  </si>
  <si>
    <t>FRIENDS TYRES</t>
  </si>
  <si>
    <t>CHASSIS NO</t>
  </si>
  <si>
    <t>Single</t>
  </si>
  <si>
    <t>ENGINE NO</t>
  </si>
  <si>
    <t>NA</t>
  </si>
  <si>
    <t>FINANCER NAME</t>
  </si>
  <si>
    <t>EMI AMOUNT</t>
  </si>
  <si>
    <t>EMI DATE</t>
  </si>
  <si>
    <t>EMI TENURE</t>
  </si>
  <si>
    <t>NO.OF.EMI PASSED</t>
  </si>
  <si>
    <t>BALANCE EMI</t>
  </si>
  <si>
    <t>TOTAL EMI
AMOUNT</t>
  </si>
  <si>
    <t>PAID EMI 
AMOUNT</t>
  </si>
  <si>
    <t>REMAING EMI
AMOUNT</t>
  </si>
  <si>
    <t xml:space="preserve">S1M4 </t>
  </si>
  <si>
    <t>S3824</t>
  </si>
  <si>
    <t>03188</t>
  </si>
  <si>
    <t>DUE CLOSED</t>
  </si>
  <si>
    <t>Y1536</t>
  </si>
  <si>
    <t>27928</t>
  </si>
  <si>
    <t>HINDUJA</t>
  </si>
  <si>
    <t>07-MM-YY</t>
  </si>
  <si>
    <t>MAHARAJA</t>
  </si>
  <si>
    <t>KARTHI</t>
  </si>
  <si>
    <t>ARUNL</t>
  </si>
  <si>
    <t>MICHAEL</t>
  </si>
  <si>
    <t>Y1538</t>
  </si>
  <si>
    <t>27907</t>
  </si>
  <si>
    <t>AYYASAMY</t>
  </si>
  <si>
    <t>KASI</t>
  </si>
  <si>
    <t>MARISELVAM</t>
  </si>
  <si>
    <t>W5698</t>
  </si>
  <si>
    <t>04674</t>
  </si>
  <si>
    <t>Y1539</t>
  </si>
  <si>
    <t>27598</t>
  </si>
  <si>
    <t>KASIPANDIYAN</t>
  </si>
  <si>
    <t>Y1534</t>
  </si>
  <si>
    <t>26778</t>
  </si>
  <si>
    <t>Y1970</t>
  </si>
  <si>
    <t>26162</t>
  </si>
  <si>
    <t>UDHAYA</t>
  </si>
  <si>
    <t>set</t>
  </si>
  <si>
    <t>EXPLODED TYRE</t>
  </si>
  <si>
    <t>KANNAN</t>
  </si>
  <si>
    <t>F4694</t>
  </si>
  <si>
    <t>44812</t>
  </si>
  <si>
    <t>C27065062924</t>
  </si>
  <si>
    <t>F4695</t>
  </si>
  <si>
    <t>EXPLODED TYER</t>
  </si>
  <si>
    <t>44771</t>
  </si>
  <si>
    <t>MRF REBELT</t>
  </si>
  <si>
    <t>K0029</t>
  </si>
  <si>
    <t>14210</t>
  </si>
  <si>
    <t>INDUSIND</t>
  </si>
  <si>
    <t>14-MM-YY</t>
  </si>
  <si>
    <t>Y7940</t>
  </si>
  <si>
    <t>21827</t>
  </si>
  <si>
    <t>21-MM-YY</t>
  </si>
  <si>
    <t>Y7960</t>
  </si>
  <si>
    <t>21990</t>
  </si>
  <si>
    <t>K2999</t>
  </si>
  <si>
    <t>10811</t>
  </si>
  <si>
    <t>FEDERAL</t>
  </si>
  <si>
    <t>K0652</t>
  </si>
  <si>
    <t>08303</t>
  </si>
  <si>
    <t>L9538</t>
  </si>
  <si>
    <t>28925</t>
  </si>
  <si>
    <t>01-MM-YY</t>
  </si>
  <si>
    <t>L9501</t>
  </si>
  <si>
    <t>29578</t>
  </si>
  <si>
    <t>HDFC</t>
  </si>
  <si>
    <t>05-MM-YY</t>
  </si>
  <si>
    <t>L9498</t>
  </si>
  <si>
    <t>29563</t>
  </si>
  <si>
    <t>L9503</t>
  </si>
  <si>
    <t>29564</t>
  </si>
  <si>
    <t>95590</t>
  </si>
  <si>
    <t xml:space="preserve">S/F </t>
  </si>
  <si>
    <t>10-MM-YY</t>
  </si>
  <si>
    <t>97810</t>
  </si>
  <si>
    <t xml:space="preserve">TLS TYRES </t>
  </si>
  <si>
    <t>S. NO</t>
  </si>
  <si>
    <t>TYRE MODEL</t>
  </si>
  <si>
    <t>NEW TYRE NO</t>
  </si>
  <si>
    <t>DEALER NAME</t>
  </si>
  <si>
    <t xml:space="preserve">S3C8 ( 1 SET ) </t>
  </si>
  <si>
    <t>S3C8 (SINGLE TYRE )</t>
  </si>
  <si>
    <t>S3C8 ( 2 SET )</t>
  </si>
  <si>
    <t>S3C8 ( 1 SET )</t>
  </si>
  <si>
    <t>S1M4 ( 1 SET )</t>
  </si>
  <si>
    <t>S1M4 (1 SET )</t>
  </si>
  <si>
    <t>S3C8 (1 SET )</t>
  </si>
  <si>
    <t>(2023-2024) ,(2024-2025) - 2025-2026</t>
  </si>
  <si>
    <t>OUT STOCK TYRE</t>
  </si>
  <si>
    <t>STOCK IN TYRE</t>
  </si>
  <si>
    <t>TYRE TYPE</t>
  </si>
  <si>
    <t>COUNT</t>
  </si>
  <si>
    <t>TYRE -1- NO</t>
  </si>
  <si>
    <t>TYRE - 2 - NO</t>
  </si>
  <si>
    <t xml:space="preserve">TYRE NO 1 Position </t>
  </si>
  <si>
    <t>TYRE NO 2 Position</t>
  </si>
  <si>
    <t>DEALER</t>
  </si>
  <si>
    <t xml:space="preserve">BILL </t>
  </si>
  <si>
    <t>RETURN TYRE MODEL</t>
  </si>
  <si>
    <t xml:space="preserve">TYRE 1 - NO </t>
  </si>
  <si>
    <t>RETURN TYRE TYPE-1</t>
  </si>
  <si>
    <t>TYRE 2 -NO</t>
  </si>
  <si>
    <t>RETURN TYRE TYPE-2</t>
  </si>
  <si>
    <t>03\04\2023</t>
  </si>
  <si>
    <t>06\04\2023</t>
  </si>
  <si>
    <t>17\04\2023</t>
  </si>
  <si>
    <t>19\04\2023</t>
  </si>
  <si>
    <t xml:space="preserve">S1M4 ( 1 SET ) </t>
  </si>
  <si>
    <t>25\04\2023</t>
  </si>
  <si>
    <t>28\04\2023</t>
  </si>
  <si>
    <t>09\05\2023</t>
  </si>
  <si>
    <t>12\05\2023</t>
  </si>
  <si>
    <t>15\05\2023</t>
  </si>
  <si>
    <t>12\06\2023</t>
  </si>
  <si>
    <t>15\06\2023</t>
  </si>
  <si>
    <t>26\06\2023</t>
  </si>
  <si>
    <t>30\06\2023</t>
  </si>
  <si>
    <t xml:space="preserve">INV NO </t>
  </si>
  <si>
    <t>01\07\2023</t>
  </si>
  <si>
    <t xml:space="preserve">BILL SVR </t>
  </si>
  <si>
    <t>CR10</t>
  </si>
  <si>
    <t>12\07\2023</t>
  </si>
  <si>
    <t>BILL SVR</t>
  </si>
  <si>
    <t>CR11</t>
  </si>
  <si>
    <t>31\07\2023</t>
  </si>
  <si>
    <t>08\08\2023</t>
  </si>
  <si>
    <t>19\08\2023</t>
  </si>
  <si>
    <t>21\08\2023</t>
  </si>
  <si>
    <t>22\08\2023</t>
  </si>
  <si>
    <t>06\09\2023</t>
  </si>
  <si>
    <t>08\09\2023</t>
  </si>
  <si>
    <t>09\09\2023</t>
  </si>
  <si>
    <t>22\09\2023</t>
  </si>
  <si>
    <t>C0134393323</t>
  </si>
  <si>
    <t>C0029243323</t>
  </si>
  <si>
    <t>C0111413423</t>
  </si>
  <si>
    <t>C0218203323</t>
  </si>
  <si>
    <t>26\09\2023</t>
  </si>
  <si>
    <t>C0184623823</t>
  </si>
  <si>
    <t>C0144773823</t>
  </si>
  <si>
    <t>C099473823</t>
  </si>
  <si>
    <t>C033013923</t>
  </si>
  <si>
    <t>13\10\2024</t>
  </si>
  <si>
    <t>25\10\2023</t>
  </si>
  <si>
    <t>30\10\2023</t>
  </si>
  <si>
    <t>17\11\2023</t>
  </si>
  <si>
    <t>18\11\2023</t>
  </si>
  <si>
    <t>29\11\2023</t>
  </si>
  <si>
    <t>02\12\2023</t>
  </si>
  <si>
    <t>05\12\2023</t>
  </si>
  <si>
    <t>27\12\2023</t>
  </si>
  <si>
    <t>28\12\2023</t>
  </si>
  <si>
    <t>30\12\2023</t>
  </si>
  <si>
    <t>04\01\2023</t>
  </si>
  <si>
    <t>04\01\2024</t>
  </si>
  <si>
    <t>06\01\2024</t>
  </si>
  <si>
    <t>23\01\2024</t>
  </si>
  <si>
    <t>31\01\2024</t>
  </si>
  <si>
    <t>01\02\2024</t>
  </si>
  <si>
    <t>C0101265223</t>
  </si>
  <si>
    <t>C0075750124</t>
  </si>
  <si>
    <t>08\02\2024</t>
  </si>
  <si>
    <t>09\02\2024</t>
  </si>
  <si>
    <t>21\02\2024</t>
  </si>
  <si>
    <t>24\02\2024</t>
  </si>
  <si>
    <t>04\03\2024</t>
  </si>
  <si>
    <t>06\03\2024</t>
  </si>
  <si>
    <t>07\03\2024</t>
  </si>
  <si>
    <t>C0216490724</t>
  </si>
  <si>
    <t>C0063680824</t>
  </si>
  <si>
    <t>R0109990824</t>
  </si>
  <si>
    <t>R0047920724</t>
  </si>
  <si>
    <t>15\03\2024</t>
  </si>
  <si>
    <t>18\03\2024</t>
  </si>
  <si>
    <t>19\03\2024</t>
  </si>
  <si>
    <t>23\03\2024</t>
  </si>
  <si>
    <t>28\03\2024</t>
  </si>
  <si>
    <t>R0189760324</t>
  </si>
  <si>
    <t>R0108660324</t>
  </si>
  <si>
    <t>01\04\2024</t>
  </si>
  <si>
    <t>7012569 0324</t>
  </si>
  <si>
    <t>06\04\2024</t>
  </si>
  <si>
    <t>7034211 1124</t>
  </si>
  <si>
    <t>7022536 1124</t>
  </si>
  <si>
    <t>MURUGAN</t>
  </si>
  <si>
    <t>7052981 0924</t>
  </si>
  <si>
    <t>7025753 1024</t>
  </si>
  <si>
    <t>10\04\2024</t>
  </si>
  <si>
    <t>7019869 1324</t>
  </si>
  <si>
    <t>7027873 1024</t>
  </si>
  <si>
    <t>JEYAKRISHNAN</t>
  </si>
  <si>
    <t>7054432 0924</t>
  </si>
  <si>
    <t>7011256 1324</t>
  </si>
  <si>
    <t>11\04\2024</t>
  </si>
  <si>
    <t>ISAI SELVAM</t>
  </si>
  <si>
    <t>22\04\2024</t>
  </si>
  <si>
    <t>THANGAKUMAR</t>
  </si>
  <si>
    <t>27\04\2024</t>
  </si>
  <si>
    <t>7026988 1624</t>
  </si>
  <si>
    <t>7054754 1624</t>
  </si>
  <si>
    <t>7041750 1524</t>
  </si>
  <si>
    <t>7060415 1624</t>
  </si>
  <si>
    <t>MUTHURAJ</t>
  </si>
  <si>
    <t>30\04\2024</t>
  </si>
  <si>
    <t>7039627 1324</t>
  </si>
  <si>
    <t>7038431 1324</t>
  </si>
  <si>
    <t>7005649 1324</t>
  </si>
  <si>
    <t>7041422 1324</t>
  </si>
  <si>
    <t>24\05\2024</t>
  </si>
  <si>
    <t>01\06\2024</t>
  </si>
  <si>
    <t>03\06\2024</t>
  </si>
  <si>
    <t>05\06\2024</t>
  </si>
  <si>
    <t>07\06\2024</t>
  </si>
  <si>
    <t>14\06\2024</t>
  </si>
  <si>
    <t>R00084640624</t>
  </si>
  <si>
    <t>R0084990624</t>
  </si>
  <si>
    <t>20\06\2024</t>
  </si>
  <si>
    <t>C0245032224</t>
  </si>
  <si>
    <t>R0055380624</t>
  </si>
  <si>
    <t>25\06\2024</t>
  </si>
  <si>
    <t>C0260921624</t>
  </si>
  <si>
    <t>C0259331724</t>
  </si>
  <si>
    <t>28\06\2024</t>
  </si>
  <si>
    <t>H2049851124</t>
  </si>
  <si>
    <t>R0088940624</t>
  </si>
  <si>
    <t>31-06-2024</t>
  </si>
  <si>
    <t>R0153980524</t>
  </si>
  <si>
    <t>09\07\2024</t>
  </si>
  <si>
    <t>11\07\2024</t>
  </si>
  <si>
    <t>12\07\2024</t>
  </si>
  <si>
    <t>17\07\2024</t>
  </si>
  <si>
    <t>20\07\2024</t>
  </si>
  <si>
    <t>25\07\2024</t>
  </si>
  <si>
    <t>05.08.2024</t>
  </si>
  <si>
    <t>05\08\2024</t>
  </si>
  <si>
    <t>10\08\2024</t>
  </si>
  <si>
    <t>13\08\2024</t>
  </si>
  <si>
    <t>20\08\2024</t>
  </si>
  <si>
    <t>04\09\2024</t>
  </si>
  <si>
    <t>02\10\2024</t>
  </si>
  <si>
    <t>08\10\2024</t>
  </si>
  <si>
    <t>15\10\2024</t>
  </si>
  <si>
    <t>18\10\2024</t>
  </si>
  <si>
    <t>C23031342924</t>
  </si>
  <si>
    <t>C27023342924</t>
  </si>
  <si>
    <t>11\11\2024</t>
  </si>
  <si>
    <t>16\11\2024</t>
  </si>
  <si>
    <t>04\12\2024</t>
  </si>
  <si>
    <t>06\12\2024</t>
  </si>
  <si>
    <t>11\12\2024</t>
  </si>
  <si>
    <t>14\12\2024</t>
  </si>
  <si>
    <t>19\12\2024</t>
  </si>
  <si>
    <t>02\01\2025</t>
  </si>
  <si>
    <t>04\01\2025</t>
  </si>
  <si>
    <t>C0149734824</t>
  </si>
  <si>
    <t>C0152104824</t>
  </si>
  <si>
    <t>C0348965224</t>
  </si>
  <si>
    <t>C0348935224</t>
  </si>
  <si>
    <t>24\01\2025</t>
  </si>
  <si>
    <t>28\01\2025</t>
  </si>
  <si>
    <t>03\02\2025</t>
  </si>
  <si>
    <t>03\02\2024</t>
  </si>
  <si>
    <t>06\02\2025</t>
  </si>
  <si>
    <t>20\02\2025</t>
  </si>
  <si>
    <t>28\02\2025</t>
  </si>
  <si>
    <t>04\03\2025</t>
  </si>
  <si>
    <t>09\03\2025</t>
  </si>
  <si>
    <t>13\03\2025</t>
  </si>
  <si>
    <t>19\03\2025</t>
  </si>
  <si>
    <t>20\03\2025</t>
  </si>
  <si>
    <t>21\03\2025</t>
  </si>
  <si>
    <t>22\03\2025</t>
  </si>
  <si>
    <t>25\03\2025</t>
  </si>
  <si>
    <t>26\03\2025</t>
  </si>
  <si>
    <t>27\03\2025</t>
  </si>
  <si>
    <t>28\03\2025</t>
  </si>
  <si>
    <t>16-04 -2025</t>
  </si>
  <si>
    <t>CASS</t>
  </si>
  <si>
    <t>MANI</t>
  </si>
  <si>
    <t>C30177643024</t>
  </si>
  <si>
    <t>C31160063024</t>
  </si>
  <si>
    <t>RAVI</t>
  </si>
  <si>
    <t>KALAIMAN</t>
  </si>
  <si>
    <t>C31122083624</t>
  </si>
  <si>
    <t>C02166145323</t>
  </si>
  <si>
    <t>THANGARAJ</t>
  </si>
  <si>
    <t>C27125182924</t>
  </si>
  <si>
    <t>C26086232924</t>
  </si>
  <si>
    <t>C27160342924</t>
  </si>
  <si>
    <t>C27162082924</t>
  </si>
  <si>
    <t>C25082164723</t>
  </si>
  <si>
    <t>R0084880624</t>
  </si>
  <si>
    <t>C0103642224</t>
  </si>
  <si>
    <t>GOVIDRAJ</t>
  </si>
  <si>
    <t>C26067264823</t>
  </si>
  <si>
    <t>C30142073024</t>
  </si>
  <si>
    <t>C27064782924</t>
  </si>
  <si>
    <t>C0066064724</t>
  </si>
  <si>
    <t>RAJASEKAR</t>
  </si>
  <si>
    <t>19-06-2025</t>
  </si>
  <si>
    <t>GOVINDH</t>
  </si>
  <si>
    <t>BAKIYARAJ</t>
  </si>
  <si>
    <t>RAJASINGAM</t>
  </si>
  <si>
    <t xml:space="preserve">9DUPE SALE UTHUKULI </t>
  </si>
  <si>
    <t>RAJU</t>
  </si>
  <si>
    <t xml:space="preserve">3 TYRE </t>
  </si>
  <si>
    <t>C25072654723</t>
  </si>
  <si>
    <t xml:space="preserve">VINOTH </t>
  </si>
  <si>
    <t>C01165044724</t>
  </si>
  <si>
    <t>ARUL</t>
  </si>
  <si>
    <t>C0086354123</t>
  </si>
  <si>
    <t>C0021300124</t>
  </si>
  <si>
    <t>2 TYRE AIR COMPLINT</t>
  </si>
  <si>
    <t>MANI , NAGARAJ</t>
  </si>
  <si>
    <t>CHACK WAITTING</t>
  </si>
  <si>
    <t>BHAI SHOP</t>
  </si>
  <si>
    <t>MAIKAL</t>
  </si>
  <si>
    <t>THANGAM</t>
  </si>
  <si>
    <t>NAGARAJ</t>
  </si>
  <si>
    <t>MUTHUSELVAM</t>
  </si>
  <si>
    <t>RETURN TYRE UTHUKULI SALE</t>
  </si>
  <si>
    <t>7B074023825</t>
  </si>
  <si>
    <t>7B074083825</t>
  </si>
  <si>
    <t>RAMESH</t>
  </si>
  <si>
    <t>7B186103925</t>
  </si>
  <si>
    <t>7B228913925</t>
  </si>
  <si>
    <t>7B182383925</t>
  </si>
  <si>
    <t>7B181943925</t>
  </si>
  <si>
    <t>MRF RETREAD</t>
  </si>
  <si>
    <t>7B051254225</t>
  </si>
  <si>
    <t>7B103394125</t>
  </si>
  <si>
    <t>7B177844125</t>
  </si>
  <si>
    <t>UDHAYA , SAKTHI</t>
  </si>
  <si>
    <t>VELRAJ</t>
  </si>
  <si>
    <t>7B003044825</t>
  </si>
  <si>
    <t>7B007734825</t>
  </si>
  <si>
    <t>7B003294825</t>
  </si>
  <si>
    <t>7B000354825</t>
  </si>
  <si>
    <t xml:space="preserve">BHAI SHOP </t>
  </si>
  <si>
    <t>7B003754725</t>
  </si>
  <si>
    <t>7B005804725</t>
  </si>
  <si>
    <t>MARIYAPPAN</t>
  </si>
  <si>
    <t>SALE AYYAPPA</t>
  </si>
  <si>
    <t>KUNNATHUR</t>
  </si>
  <si>
    <t>7B000664825</t>
  </si>
  <si>
    <t>7B299224825</t>
  </si>
  <si>
    <t>ANBU</t>
  </si>
  <si>
    <t>9475 REBELT</t>
  </si>
  <si>
    <t>7B0898225125</t>
  </si>
  <si>
    <t>7B0433234025</t>
  </si>
  <si>
    <t>MANTHIRAMOORTHY</t>
  </si>
  <si>
    <t>C01125215323</t>
  </si>
  <si>
    <t>7B176655225</t>
  </si>
  <si>
    <t>KAASI</t>
  </si>
  <si>
    <t>7B171765225</t>
  </si>
  <si>
    <t>7B326590226</t>
  </si>
  <si>
    <t>7B319394925</t>
  </si>
  <si>
    <t>7B202334925</t>
  </si>
  <si>
    <t>7B089825125</t>
  </si>
  <si>
    <t>C04148495223</t>
  </si>
  <si>
    <t>7B153505225</t>
  </si>
  <si>
    <t>7B172265225</t>
  </si>
  <si>
    <t>7B009475125</t>
  </si>
  <si>
    <t>7B011085125</t>
  </si>
  <si>
    <t>JAYAKRISHNAN</t>
  </si>
  <si>
    <t>7B137590126</t>
  </si>
  <si>
    <t>7B340230126</t>
  </si>
  <si>
    <t>DURAI SAMY</t>
  </si>
  <si>
    <t>7B1658895225</t>
  </si>
  <si>
    <t>7B177465225</t>
  </si>
  <si>
    <t>7B171525225</t>
  </si>
  <si>
    <t>7B356270126</t>
  </si>
  <si>
    <t>7B144640226</t>
  </si>
  <si>
    <t>7B142300226</t>
  </si>
  <si>
    <t>UDHAYAKUMAR</t>
  </si>
  <si>
    <t>7B144490226</t>
  </si>
  <si>
    <t>7B145290226</t>
  </si>
  <si>
    <t>7B144340226</t>
  </si>
  <si>
    <t>7B080390926</t>
  </si>
  <si>
    <t>7B081800926</t>
  </si>
  <si>
    <t>7B081190926</t>
  </si>
  <si>
    <t>7B088620926</t>
  </si>
  <si>
    <t>MICHEAL</t>
  </si>
  <si>
    <t xml:space="preserve">KALYANI </t>
  </si>
  <si>
    <t>7B282771026</t>
  </si>
  <si>
    <t>7B242501026</t>
  </si>
  <si>
    <t>7B270081026</t>
  </si>
  <si>
    <t>7B269391026</t>
  </si>
  <si>
    <t>7B244271026</t>
  </si>
  <si>
    <t>7B243921026</t>
  </si>
  <si>
    <t>7B303691126</t>
  </si>
  <si>
    <t>7B258321126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</si>
</sst>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yyyy"/>
    <numFmt numFmtId="165" formatCode="dd-mm-yyyy"/>
    <numFmt numFmtId="166" formatCode="d-m-yyyy"/>
    <numFmt numFmtId="167" formatCode="dd/MM/yyyy"/>
    <numFmt numFmtId="168" formatCode="HH:mm:ss"/>
    <numFmt numFmtId="169" formatCode="yyyy-mm-dd hh:mm:ss"/>
    <numFmt numFmtId="170" formatCode="mm-dd-yyyy"/>
  </numFmts>
  <fonts count="60">
    <font>
      <sz val="10.0"/>
      <color rgb="FF000000"/>
      <name val="Arial"/>
      <scheme val="minor"/>
    </font>
    <font>
      <b/>
      <sz val="20.0"/>
      <color theme="1"/>
      <name val="Times New Roman"/>
    </font>
    <font>
      <color theme="1"/>
      <name val="Arial"/>
      <scheme val="minor"/>
    </font>
    <font>
      <b/>
      <color theme="1"/>
      <name val="Arial"/>
    </font>
    <font/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000000"/>
      <name val="Times New Roman"/>
    </font>
    <font>
      <b/>
      <sz val="11.0"/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sz val="10.0"/>
      <color rgb="FFFF0000"/>
      <name val="Arial"/>
    </font>
    <font>
      <b/>
      <sz val="12.0"/>
      <color rgb="FF000000"/>
    </font>
    <font>
      <b/>
      <sz val="10.0"/>
      <color rgb="FF000000"/>
    </font>
    <font>
      <b/>
      <sz val="12.0"/>
      <color theme="1"/>
      <name val="Arial"/>
      <scheme val="minor"/>
    </font>
    <font>
      <b/>
      <sz val="11.0"/>
      <color rgb="FFFF0000"/>
      <name val="Arial"/>
      <scheme val="minor"/>
    </font>
    <font>
      <b/>
      <sz val="10.0"/>
      <color theme="1"/>
      <name val="Arial"/>
      <scheme val="minor"/>
    </font>
    <font>
      <b/>
      <sz val="11.0"/>
      <color rgb="FF000000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3.0"/>
      <color rgb="FF000000"/>
      <name val="Arial"/>
      <scheme val="minor"/>
    </font>
    <font>
      <b/>
      <strike/>
      <sz val="13.0"/>
      <color theme="1"/>
      <name val="Arial"/>
      <scheme val="minor"/>
    </font>
    <font>
      <b/>
      <strike/>
      <sz val="13.0"/>
      <color rgb="FFFF0000"/>
      <name val="Arial"/>
      <scheme val="minor"/>
    </font>
    <font>
      <b/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trike/>
      <sz val="13.0"/>
      <color rgb="FF000000"/>
      <name val="Arial"/>
      <scheme val="minor"/>
    </font>
    <font>
      <b/>
      <strike/>
      <sz val="11.0"/>
      <color rgb="FF000000"/>
      <name val="Arial"/>
      <scheme val="minor"/>
    </font>
    <font>
      <b/>
      <color rgb="FFFF0000"/>
      <name val="Arial"/>
      <scheme val="minor"/>
    </font>
    <font>
      <b/>
      <sz val="13.0"/>
      <color rgb="FFFF0000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sz val="11.0"/>
      <color theme="1"/>
      <name val="Roboto"/>
    </font>
    <font>
      <b/>
      <sz val="19.0"/>
      <color theme="1"/>
      <name val="Arial"/>
      <scheme val="minor"/>
    </font>
    <font>
      <b/>
      <sz val="12.0"/>
      <color theme="1"/>
      <name val="Roboto"/>
    </font>
    <font>
      <sz val="12.0"/>
      <color theme="1"/>
      <name val="Roboto"/>
    </font>
    <font>
      <b/>
      <sz val="11.0"/>
      <color rgb="FFFF0000"/>
      <name val="Arial"/>
    </font>
    <font>
      <b/>
      <sz val="10.0"/>
      <color rgb="FFFF0000"/>
      <name val="Arial"/>
      <scheme val="minor"/>
    </font>
    <font>
      <b/>
      <sz val="12.0"/>
      <color rgb="FF000000"/>
      <name val="Roboto"/>
    </font>
    <font>
      <b/>
      <sz val="12.0"/>
      <color rgb="FFFF0000"/>
      <name val="Roboto"/>
    </font>
    <font>
      <sz val="12.0"/>
      <color rgb="FFFF0000"/>
      <name val="Roboto"/>
    </font>
    <font>
      <b/>
      <sz val="16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Roboto"/>
    </font>
    <font>
      <b/>
      <sz val="11.0"/>
      <color theme="1"/>
      <name val="Arial"/>
    </font>
    <font>
      <color rgb="FF000000"/>
      <name val="Arial"/>
      <scheme val="minor"/>
    </font>
    <font>
      <b/>
      <sz val="10.0"/>
      <color rgb="FF000000"/>
      <name val="Roboto"/>
    </font>
    <font>
      <b/>
      <sz val="13.0"/>
      <color theme="1"/>
      <name val="Arial"/>
    </font>
    <font>
      <b/>
      <color rgb="FF000000"/>
      <name val="Roboto"/>
    </font>
    <font>
      <b/>
      <sz val="23.0"/>
      <color rgb="FF000000"/>
      <name val="Arial"/>
      <scheme val="minor"/>
    </font>
    <font>
      <b/>
      <sz val="13.0"/>
      <color theme="1"/>
      <name val="Roboto"/>
    </font>
    <font>
      <b/>
      <sz val="13.0"/>
      <color rgb="FF000000"/>
      <name val="Roboto"/>
    </font>
    <font>
      <color theme="1"/>
      <name val="&quot;Helvetica Neue&quot;"/>
    </font>
    <font>
      <u/>
      <color rgb="FF0000FF"/>
      <name val="&quot;Helvetica Neue&quot;"/>
    </font>
    <font>
      <sz val="11.0"/>
      <color theme="1"/>
      <name val="Arial"/>
    </font>
    <font>
      <u/>
      <color rgb="FF0000FF"/>
      <name val="&quot;Helvetica Neue&quot;"/>
    </font>
    <font>
      <b/>
      <sz val="11.0"/>
      <color rgb="FF000000"/>
      <name val="Arial"/>
    </font>
    <font>
      <b/>
      <color rgb="FFFF0000"/>
      <name val="Arial"/>
    </font>
    <font>
      <b/>
      <color rgb="FF000000"/>
      <name val="Arial"/>
    </font>
    <font>
      <b/>
      <sz val="10.0"/>
      <color rgb="FF000000"/>
      <name val="Arial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FF0000"/>
      </top>
      <bottom style="thin">
        <color rgb="FFFF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" fillId="3" fontId="1" numFmtId="0" xfId="0" applyAlignment="1" applyBorder="1" applyFill="1" applyFont="1">
      <alignment horizontal="center" readingOrder="0" textRotation="0" vertical="center"/>
    </xf>
    <xf borderId="1" fillId="3" fontId="3" numFmtId="164" xfId="0" applyAlignment="1" applyBorder="1" applyFill="1" applyFont="1" applyNumberFormat="1">
      <alignment horizontal="center"/>
    </xf>
    <xf borderId="3" fillId="0" fontId="4" numFmtId="0" xfId="0" applyBorder="1" applyFont="1"/>
    <xf borderId="2" fillId="0" fontId="5" numFmtId="0" xfId="0" applyAlignment="1" applyBorder="1" applyFont="1">
      <alignment horizontal="center" readingOrder="0" vertical="center"/>
    </xf>
    <xf borderId="4" fillId="0" fontId="4" numFmtId="0" xfId="0" applyBorder="1" applyFont="1"/>
    <xf borderId="0" fillId="0" fontId="6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0" fillId="2" fontId="7" numFmtId="0" xfId="0" applyAlignment="1" applyFill="1" applyFont="1">
      <alignment horizontal="center" readingOrder="0" vertical="bottom"/>
    </xf>
    <xf borderId="1" fillId="3" fontId="8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3" fontId="8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left"/>
    </xf>
    <xf borderId="1" fillId="3" fontId="10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left"/>
    </xf>
    <xf borderId="1" fillId="0" fontId="9" numFmtId="0" xfId="0" applyAlignment="1" applyBorder="1" applyFont="1">
      <alignment horizontal="left" readingOrder="0"/>
    </xf>
    <xf borderId="0" fillId="2" fontId="10" numFmtId="0" xfId="0" applyAlignment="1" applyFill="1" applyFont="1">
      <alignment horizontal="center" readingOrder="0"/>
    </xf>
    <xf borderId="0" fillId="0" fontId="2" numFmtId="0" xfId="0" applyAlignment="1" applyFont="1">
      <alignment vertical="center"/>
    </xf>
    <xf borderId="1" fillId="2" fontId="12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1" fillId="2" fontId="14" numFmtId="0" xfId="0" applyAlignment="1" applyBorder="1" applyFill="1" applyFont="1">
      <alignment horizontal="center" vertical="bottom"/>
    </xf>
    <xf borderId="1" fillId="0" fontId="15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vertical="center"/>
    </xf>
    <xf borderId="2" fillId="3" fontId="16" numFmtId="0" xfId="0" applyAlignment="1" applyBorder="1" applyFill="1" applyFont="1">
      <alignment horizontal="center" readingOrder="0" vertical="center"/>
    </xf>
    <xf borderId="2" fillId="2" fontId="14" numFmtId="0" xfId="0" applyAlignment="1" applyBorder="1" applyFill="1" applyFont="1">
      <alignment horizontal="center" vertical="bottom"/>
    </xf>
    <xf borderId="0" fillId="0" fontId="8" numFmtId="165" xfId="0" applyAlignment="1" applyFont="1" applyNumberFormat="1">
      <alignment horizontal="center" readingOrder="0" vertical="center"/>
    </xf>
    <xf borderId="0" fillId="2" fontId="2" numFmtId="0" xfId="0" applyFill="1" applyFont="1"/>
    <xf borderId="5" fillId="3" fontId="17" numFmtId="0" xfId="0" applyAlignment="1" applyBorder="1" applyFill="1" applyFont="1">
      <alignment horizontal="center" readingOrder="0" vertical="center"/>
    </xf>
    <xf borderId="5" fillId="3" fontId="8" numFmtId="0" xfId="0" applyAlignment="1" applyBorder="1" applyFill="1" applyFont="1">
      <alignment horizontal="center" readingOrder="0" vertical="center"/>
    </xf>
    <xf borderId="0" fillId="2" fontId="18" numFmtId="0" xfId="0" applyAlignment="1" applyFill="1" applyFont="1">
      <alignment horizontal="center" readingOrder="0"/>
    </xf>
    <xf borderId="2" fillId="3" fontId="19" numFmtId="0" xfId="0" applyAlignment="1" applyBorder="1" applyFill="1" applyFont="1">
      <alignment horizontal="center" readingOrder="0" vertical="center"/>
    </xf>
    <xf borderId="1" fillId="2" fontId="20" numFmtId="0" xfId="0" applyAlignment="1" applyBorder="1" applyFill="1" applyFont="1">
      <alignment horizontal="center" readingOrder="0"/>
    </xf>
    <xf borderId="1" fillId="2" fontId="21" numFmtId="0" xfId="0" applyAlignment="1" applyBorder="1" applyFill="1" applyFont="1">
      <alignment horizontal="center" readingOrder="0" vertical="center"/>
    </xf>
    <xf borderId="2" fillId="3" fontId="8" numFmtId="0" xfId="0" applyAlignment="1" applyBorder="1" applyFill="1" applyFont="1">
      <alignment horizontal="center" readingOrder="0" vertical="center"/>
    </xf>
    <xf borderId="1" fillId="2" fontId="21" numFmtId="165" xfId="0" applyAlignment="1" applyBorder="1" applyFill="1" applyFont="1" applyNumberFormat="1">
      <alignment horizontal="center" readingOrder="0" vertical="center"/>
    </xf>
    <xf borderId="2" fillId="3" fontId="14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1" fillId="0" fontId="16" numFmtId="0" xfId="0" applyAlignment="1" applyBorder="1" applyFont="1">
      <alignment horizontal="center" readingOrder="0" vertical="center"/>
    </xf>
    <xf borderId="1" fillId="0" fontId="8" numFmtId="166" xfId="0" applyAlignment="1" applyBorder="1" applyFont="1" applyNumberFormat="1">
      <alignment horizontal="center" readingOrder="0" vertical="center"/>
    </xf>
    <xf borderId="1" fillId="4" fontId="16" numFmtId="0" xfId="0" applyAlignment="1" applyBorder="1" applyFill="1" applyFont="1">
      <alignment horizontal="center" readingOrder="0" vertical="center"/>
    </xf>
    <xf borderId="1" fillId="2" fontId="22" numFmtId="0" xfId="0" applyAlignment="1" applyBorder="1" applyFill="1" applyFont="1">
      <alignment horizontal="center" vertical="center"/>
    </xf>
    <xf borderId="0" fillId="0" fontId="8" numFmtId="166" xfId="0" applyAlignment="1" applyFont="1" applyNumberFormat="1">
      <alignment horizontal="center" readingOrder="0" vertical="center"/>
    </xf>
    <xf borderId="1" fillId="5" fontId="23" numFmtId="0" xfId="0" applyAlignment="1" applyBorder="1" applyFill="1" applyFont="1">
      <alignment horizontal="center" readingOrder="0" vertical="center"/>
    </xf>
    <xf borderId="1" fillId="5" fontId="16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horizontal="center" vertical="center"/>
    </xf>
    <xf borderId="1" fillId="2" fontId="22" numFmtId="49" xfId="0" applyAlignment="1" applyBorder="1" applyFill="1" applyFont="1" applyNumberFormat="1">
      <alignment horizontal="center" readingOrder="0" vertical="center"/>
    </xf>
    <xf borderId="1" fillId="2" fontId="8" numFmtId="0" xfId="0" applyAlignment="1" applyBorder="1" applyFill="1" applyFont="1">
      <alignment horizontal="center" readingOrder="0" vertical="center"/>
    </xf>
    <xf borderId="1" fillId="2" fontId="9" numFmtId="0" xfId="0" applyAlignment="1" applyBorder="1" applyFill="1" applyFont="1">
      <alignment horizontal="left"/>
    </xf>
    <xf borderId="1" fillId="2" fontId="19" numFmtId="0" xfId="0" applyAlignment="1" applyBorder="1" applyFill="1" applyFont="1">
      <alignment horizontal="center" readingOrder="0" vertical="center"/>
    </xf>
    <xf borderId="1" fillId="2" fontId="20" numFmtId="165" xfId="0" applyAlignment="1" applyBorder="1" applyFill="1" applyFont="1" applyNumberForma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2" fontId="23" numFmtId="165" xfId="0" applyAlignment="1" applyBorder="1" applyFill="1" applyFont="1" applyNumberFormat="1">
      <alignment horizontal="center" readingOrder="0" vertical="center"/>
    </xf>
    <xf borderId="1" fillId="2" fontId="21" numFmtId="166" xfId="0" applyAlignment="1" applyBorder="1" applyFill="1" applyFont="1" applyNumberFormat="1">
      <alignment horizontal="center" readingOrder="0" vertical="center"/>
    </xf>
    <xf borderId="1" fillId="2" fontId="23" numFmtId="0" xfId="0" applyAlignment="1" applyBorder="1" applyFill="1" applyFont="1">
      <alignment horizontal="center" readingOrder="0" vertical="center"/>
    </xf>
    <xf borderId="0" fillId="2" fontId="14" numFmtId="0" xfId="0" applyAlignment="1" applyFill="1" applyFont="1">
      <alignment horizontal="center" readingOrder="0"/>
    </xf>
    <xf borderId="1" fillId="0" fontId="23" numFmtId="165" xfId="0" applyAlignment="1" applyBorder="1" applyFont="1" applyNumberFormat="1">
      <alignment horizontal="center" readingOrder="0" vertical="center"/>
    </xf>
    <xf borderId="1" fillId="2" fontId="24" numFmtId="0" xfId="0" applyAlignment="1" applyBorder="1" applyFill="1" applyFont="1">
      <alignment horizontal="center" readingOrder="0"/>
    </xf>
    <xf borderId="1" fillId="2" fontId="11" numFmtId="0" xfId="0" applyAlignment="1" applyBorder="1" applyFill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2" fontId="25" numFmtId="165" xfId="0" applyAlignment="1" applyBorder="1" applyFill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2" fontId="26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/>
    </xf>
    <xf borderId="1" fillId="2" fontId="19" numFmtId="167" xfId="0" applyAlignment="1" applyBorder="1" applyFill="1" applyFont="1" applyNumberFormat="1">
      <alignment horizontal="center" readingOrder="0" vertical="center"/>
    </xf>
    <xf borderId="1" fillId="4" fontId="19" numFmtId="0" xfId="0" applyAlignment="1" applyBorder="1" applyFill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1" fillId="0" fontId="27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166" xfId="0" applyAlignment="1" applyBorder="1" applyFont="1" applyNumberFormat="1">
      <alignment horizontal="center" readingOrder="0" vertical="center"/>
    </xf>
    <xf borderId="0" fillId="0" fontId="10" numFmtId="166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4" numFmtId="0" xfId="0" applyAlignment="1" applyFont="1">
      <alignment horizontal="center" readingOrder="0"/>
    </xf>
    <xf borderId="1" fillId="2" fontId="16" numFmtId="0" xfId="0" applyAlignment="1" applyBorder="1" applyFill="1" applyFont="1">
      <alignment horizontal="center" readingOrder="0" vertical="center"/>
    </xf>
    <xf borderId="1" fillId="0" fontId="19" numFmtId="165" xfId="0" applyAlignment="1" applyBorder="1" applyFont="1" applyNumberFormat="1">
      <alignment horizontal="center" readingOrder="0" vertical="center"/>
    </xf>
    <xf borderId="1" fillId="2" fontId="23" numFmtId="166" xfId="0" applyAlignment="1" applyBorder="1" applyFill="1" applyFont="1" applyNumberFormat="1">
      <alignment horizontal="center" readingOrder="0" vertical="center"/>
    </xf>
    <xf borderId="1" fillId="0" fontId="19" numFmtId="167" xfId="0" applyAlignment="1" applyBorder="1" applyFont="1" applyNumberFormat="1">
      <alignment horizontal="center" readingOrder="0" vertical="center"/>
    </xf>
    <xf borderId="1" fillId="2" fontId="24" numFmtId="0" xfId="0" applyAlignment="1" applyBorder="1" applyFill="1" applyFont="1">
      <alignment horizontal="center" readingOrder="0" vertical="center"/>
    </xf>
    <xf borderId="1" fillId="2" fontId="28" numFmtId="0" xfId="0" applyAlignment="1" applyBorder="1" applyFill="1" applyFont="1">
      <alignment horizontal="center" vertical="center"/>
    </xf>
    <xf borderId="1" fillId="6" fontId="19" numFmtId="0" xfId="0" applyAlignment="1" applyBorder="1" applyFill="1" applyFont="1">
      <alignment horizontal="center" readingOrder="0" vertical="center"/>
    </xf>
    <xf borderId="1" fillId="2" fontId="24" numFmtId="165" xfId="0" applyAlignment="1" applyBorder="1" applyFill="1" applyFont="1" applyNumberFormat="1">
      <alignment horizontal="center" readingOrder="0" vertical="center"/>
    </xf>
    <xf borderId="1" fillId="0" fontId="10" numFmtId="49" xfId="0" applyAlignment="1" applyBorder="1" applyFont="1" applyNumberFormat="1">
      <alignment horizontal="center" vertical="center"/>
    </xf>
    <xf borderId="1" fillId="2" fontId="19" numFmtId="165" xfId="0" applyAlignment="1" applyBorder="1" applyFill="1" applyFont="1" applyNumberFormat="1">
      <alignment horizontal="center" readingOrder="0" vertical="center"/>
    </xf>
    <xf borderId="1" fillId="2" fontId="28" numFmtId="49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2" fontId="19" numFmtId="0" xfId="0" applyAlignment="1" applyBorder="1" applyFill="1" applyFont="1">
      <alignment horizontal="center" vertical="center"/>
    </xf>
    <xf borderId="1" fillId="0" fontId="19" numFmtId="0" xfId="0" applyAlignment="1" applyBorder="1" applyFont="1">
      <alignment horizontal="left" readingOrder="0" vertical="center"/>
    </xf>
    <xf borderId="0" fillId="0" fontId="29" numFmtId="0" xfId="0" applyAlignment="1" applyFont="1">
      <alignment horizontal="left" readingOrder="0" vertical="center"/>
    </xf>
    <xf borderId="0" fillId="0" fontId="29" numFmtId="165" xfId="0" applyAlignment="1" applyFont="1" applyNumberFormat="1">
      <alignment horizontal="left" readingOrder="0" vertical="center"/>
    </xf>
    <xf borderId="1" fillId="0" fontId="19" numFmtId="166" xfId="0" applyAlignment="1" applyBorder="1" applyFont="1" applyNumberFormat="1">
      <alignment horizontal="center" readingOrder="0" vertical="center"/>
    </xf>
    <xf borderId="1" fillId="2" fontId="23" numFmtId="0" xfId="0" applyAlignment="1" applyBorder="1" applyFill="1" applyFont="1">
      <alignment horizontal="center" vertical="center"/>
    </xf>
    <xf borderId="0" fillId="0" fontId="29" numFmtId="166" xfId="0" applyAlignment="1" applyFont="1" applyNumberFormat="1">
      <alignment horizontal="left" readingOrder="0" vertical="center"/>
    </xf>
    <xf borderId="1" fillId="2" fontId="16" numFmtId="0" xfId="0" applyAlignment="1" applyBorder="1" applyFill="1" applyFont="1">
      <alignment horizontal="center" vertical="center"/>
    </xf>
    <xf borderId="1" fillId="2" fontId="24" numFmtId="166" xfId="0" applyAlignment="1" applyBorder="1" applyFill="1" applyFont="1" applyNumberFormat="1">
      <alignment horizontal="center" readingOrder="0" vertical="center"/>
    </xf>
    <xf borderId="1" fillId="2" fontId="19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2" fontId="19" numFmtId="0" xfId="0" applyAlignment="1" applyBorder="1" applyFill="1" applyFont="1">
      <alignment horizontal="center" vertical="bottom"/>
    </xf>
    <xf borderId="1" fillId="0" fontId="30" numFmtId="0" xfId="0" applyBorder="1" applyFont="1"/>
    <xf borderId="1" fillId="2" fontId="19" numFmtId="0" xfId="0" applyAlignment="1" applyBorder="1" applyFill="1" applyFont="1">
      <alignment horizontal="center" vertical="bottom"/>
    </xf>
    <xf borderId="1" fillId="0" fontId="17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4" fontId="19" numFmtId="0" xfId="0" applyAlignment="1" applyBorder="1" applyFill="1" applyFont="1">
      <alignment horizontal="center" vertical="bottom"/>
    </xf>
    <xf borderId="1" fillId="0" fontId="31" numFmtId="0" xfId="0" applyAlignment="1" applyBorder="1" applyFont="1">
      <alignment horizontal="left" readingOrder="0" vertical="center"/>
    </xf>
    <xf borderId="0" fillId="4" fontId="32" numFmtId="0" xfId="0" applyAlignment="1" applyFill="1" applyFont="1">
      <alignment horizontal="center" readingOrder="0"/>
    </xf>
    <xf borderId="1" fillId="0" fontId="15" numFmtId="0" xfId="0" applyAlignment="1" applyBorder="1" applyFont="1">
      <alignment horizontal="left" readingOrder="0" vertical="center"/>
    </xf>
    <xf borderId="0" fillId="4" fontId="2" numFmtId="0" xfId="0" applyFill="1" applyFont="1"/>
    <xf borderId="0" fillId="0" fontId="14" numFmtId="0" xfId="0" applyAlignment="1" applyFont="1">
      <alignment readingOrder="0"/>
    </xf>
    <xf borderId="1" fillId="0" fontId="19" numFmtId="49" xfId="0" applyAlignment="1" applyBorder="1" applyFont="1" applyNumberFormat="1">
      <alignment horizontal="center" readingOrder="0" vertical="center"/>
    </xf>
    <xf borderId="0" fillId="0" fontId="33" numFmtId="0" xfId="0" applyAlignment="1" applyFont="1">
      <alignment readingOrder="0"/>
    </xf>
    <xf borderId="0" fillId="0" fontId="34" numFmtId="0" xfId="0" applyFont="1"/>
    <xf borderId="1" fillId="0" fontId="35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1" fillId="6" fontId="19" numFmtId="0" xfId="0" applyAlignment="1" applyBorder="1" applyFill="1" applyFont="1">
      <alignment horizontal="center" vertical="center"/>
    </xf>
    <xf borderId="1" fillId="3" fontId="33" numFmtId="0" xfId="0" applyAlignment="1" applyBorder="1" applyFill="1" applyFont="1">
      <alignment horizontal="center"/>
    </xf>
    <xf borderId="1" fillId="3" fontId="33" numFmtId="0" xfId="0" applyAlignment="1" applyBorder="1" applyFill="1" applyFont="1">
      <alignment horizontal="center" readingOrder="0"/>
    </xf>
    <xf borderId="1" fillId="2" fontId="36" numFmtId="0" xfId="0" applyAlignment="1" applyBorder="1" applyFill="1" applyFont="1">
      <alignment horizontal="center" vertical="center"/>
    </xf>
    <xf borderId="1" fillId="0" fontId="37" numFmtId="0" xfId="0" applyAlignment="1" applyBorder="1" applyFont="1">
      <alignment horizontal="left"/>
    </xf>
    <xf borderId="1" fillId="0" fontId="38" numFmtId="0" xfId="0" applyAlignment="1" applyBorder="1" applyFont="1">
      <alignment horizontal="left"/>
    </xf>
    <xf borderId="1" fillId="0" fontId="16" numFmtId="0" xfId="0" applyAlignment="1" applyBorder="1" applyFont="1">
      <alignment horizontal="center" vertical="center"/>
    </xf>
    <xf borderId="1" fillId="0" fontId="37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left" readingOrder="0" vertical="center"/>
    </xf>
    <xf borderId="1" fillId="0" fontId="36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readingOrder="0"/>
    </xf>
    <xf borderId="1" fillId="0" fontId="33" numFmtId="0" xfId="0" applyAlignment="1" applyBorder="1" applyFont="1">
      <alignment horizontal="left" readingOrder="0" vertical="center"/>
    </xf>
    <xf borderId="1" fillId="0" fontId="38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37" numFmtId="0" xfId="0" applyAlignment="1" applyBorder="1" applyFont="1">
      <alignment horizontal="center"/>
    </xf>
    <xf borderId="1" fillId="0" fontId="15" numFmtId="0" xfId="0" applyAlignment="1" applyBorder="1" applyFont="1">
      <alignment horizontal="left" readingOrder="0"/>
    </xf>
    <xf borderId="1" fillId="0" fontId="19" numFmtId="0" xfId="0" applyAlignment="1" applyBorder="1" applyFont="1">
      <alignment horizontal="left" readingOrder="0"/>
    </xf>
    <xf borderId="1" fillId="0" fontId="38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8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right" readingOrder="0"/>
    </xf>
    <xf borderId="1" fillId="0" fontId="36" numFmtId="0" xfId="0" applyAlignment="1" applyBorder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2" fontId="15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2" fontId="37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readingOrder="0" vertical="center"/>
    </xf>
    <xf borderId="1" fillId="0" fontId="11" numFmtId="0" xfId="0" applyAlignment="1" applyBorder="1" applyFont="1">
      <alignment horizontal="center" readingOrder="0"/>
    </xf>
    <xf borderId="0" fillId="2" fontId="16" numFmtId="0" xfId="0" applyAlignment="1" applyFill="1" applyFont="1">
      <alignment horizontal="center" vertical="center"/>
    </xf>
    <xf borderId="0" fillId="2" fontId="36" numFmtId="0" xfId="0" applyAlignment="1" applyFill="1" applyFont="1">
      <alignment horizontal="center" vertical="center"/>
    </xf>
    <xf borderId="0" fillId="2" fontId="23" numFmtId="0" xfId="0" applyAlignment="1" applyFill="1" applyFont="1">
      <alignment horizontal="center" vertical="center"/>
    </xf>
    <xf borderId="0" fillId="2" fontId="23" numFmtId="0" xfId="0" applyAlignment="1" applyFill="1" applyFont="1">
      <alignment horizontal="center" readingOrder="0" vertical="center"/>
    </xf>
    <xf borderId="0" fillId="2" fontId="16" numFmtId="0" xfId="0" applyAlignment="1" applyFill="1" applyFont="1">
      <alignment horizontal="center" readingOrder="0" vertical="center"/>
    </xf>
    <xf borderId="1" fillId="2" fontId="20" numFmtId="0" xfId="0" applyAlignment="1" applyBorder="1" applyFill="1" applyFont="1">
      <alignment horizontal="center" readingOrder="0" vertical="center"/>
    </xf>
    <xf borderId="1" fillId="2" fontId="28" numFmtId="49" xfId="0" applyAlignment="1" applyBorder="1" applyFill="1" applyFont="1" applyNumberFormat="1">
      <alignment horizontal="center" vertical="center"/>
    </xf>
    <xf borderId="0" fillId="2" fontId="8" numFmtId="0" xfId="0" applyAlignment="1" applyFill="1" applyFont="1">
      <alignment horizontal="center" vertical="center"/>
    </xf>
    <xf borderId="0" fillId="2" fontId="15" numFmtId="0" xfId="0" applyAlignment="1" applyFill="1" applyFont="1">
      <alignment horizontal="center" vertical="center"/>
    </xf>
    <xf borderId="1" fillId="2" fontId="24" numFmtId="165" xfId="0" applyAlignment="1" applyBorder="1" applyFill="1" applyFont="1" applyNumberFormat="1">
      <alignment horizontal="center" readingOrder="0"/>
    </xf>
    <xf borderId="5" fillId="3" fontId="14" numFmtId="0" xfId="0" applyAlignment="1" applyBorder="1" applyFill="1" applyFont="1">
      <alignment horizontal="center" readingOrder="0" vertical="center"/>
    </xf>
    <xf borderId="1" fillId="2" fontId="19" numFmtId="0" xfId="0" applyAlignment="1" applyBorder="1" applyFill="1" applyFont="1">
      <alignment horizontal="left" readingOrder="0" vertical="center"/>
    </xf>
    <xf borderId="1" fillId="0" fontId="8" numFmtId="0" xfId="0" applyAlignment="1" applyBorder="1" applyFont="1">
      <alignment readingOrder="0"/>
    </xf>
    <xf borderId="1" fillId="0" fontId="33" numFmtId="0" xfId="0" applyAlignment="1" applyBorder="1" applyFont="1">
      <alignment horizontal="left" readingOrder="0"/>
    </xf>
    <xf borderId="1" fillId="0" fontId="19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40" numFmtId="0" xfId="0" applyAlignment="1" applyFill="1" applyFont="1">
      <alignment horizontal="center" vertical="bottom"/>
    </xf>
    <xf borderId="0" fillId="2" fontId="41" numFmtId="0" xfId="0" applyAlignment="1" applyFill="1" applyFont="1">
      <alignment horizontal="center" readingOrder="0"/>
    </xf>
    <xf borderId="0" fillId="2" fontId="19" numFmtId="0" xfId="0" applyAlignment="1" applyFill="1" applyFont="1">
      <alignment horizontal="center" readingOrder="0" vertical="center"/>
    </xf>
    <xf borderId="1" fillId="0" fontId="37" numFmtId="0" xfId="0" applyAlignment="1" applyBorder="1" applyFont="1">
      <alignment readingOrder="0"/>
    </xf>
    <xf borderId="0" fillId="2" fontId="2" numFmtId="165" xfId="0" applyAlignment="1" applyFill="1" applyFont="1" applyNumberFormat="1">
      <alignment readingOrder="0"/>
    </xf>
    <xf borderId="1" fillId="2" fontId="15" numFmtId="167" xfId="0" applyAlignment="1" applyBorder="1" applyFill="1" applyFont="1" applyNumberFormat="1">
      <alignment horizontal="center" readingOrder="0" vertical="center"/>
    </xf>
    <xf borderId="0" fillId="2" fontId="8" numFmtId="165" xfId="0" applyAlignment="1" applyFill="1" applyFont="1" applyNumberFormat="1">
      <alignment horizontal="center" readingOrder="0" vertical="center"/>
    </xf>
    <xf borderId="0" fillId="2" fontId="8" numFmtId="0" xfId="0" applyAlignment="1" applyFill="1" applyFont="1">
      <alignment horizontal="center" readingOrder="0" vertical="center"/>
    </xf>
    <xf borderId="0" fillId="2" fontId="8" numFmtId="165" xfId="0" applyAlignment="1" applyFill="1" applyFont="1" applyNumberFormat="1">
      <alignment readingOrder="0" vertical="center"/>
    </xf>
    <xf borderId="0" fillId="2" fontId="8" numFmtId="0" xfId="0" applyAlignment="1" applyFill="1" applyFont="1">
      <alignment readingOrder="0" vertical="center"/>
    </xf>
    <xf borderId="1" fillId="2" fontId="19" numFmtId="0" xfId="0" applyAlignment="1" applyBorder="1" applyFill="1" applyFont="1">
      <alignment horizontal="left" vertical="bottom"/>
    </xf>
    <xf borderId="1" fillId="0" fontId="33" numFmtId="0" xfId="0" applyAlignment="1" applyBorder="1" applyFont="1">
      <alignment horizontal="left"/>
    </xf>
    <xf borderId="1" fillId="2" fontId="19" numFmtId="0" xfId="0" applyAlignment="1" applyBorder="1" applyFill="1" applyFont="1">
      <alignment horizontal="left" vertical="bottom"/>
    </xf>
    <xf borderId="1" fillId="0" fontId="38" numFmtId="0" xfId="0" applyAlignment="1" applyBorder="1" applyFont="1">
      <alignment horizontal="center"/>
    </xf>
    <xf borderId="0" fillId="4" fontId="37" numFmtId="0" xfId="0" applyAlignment="1" applyFill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1" fillId="0" fontId="37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left" vertical="center"/>
    </xf>
    <xf borderId="1" fillId="0" fontId="37" numFmtId="165" xfId="0" applyAlignment="1" applyBorder="1" applyFont="1" applyNumberFormat="1">
      <alignment horizontal="center" readingOrder="0" vertical="center"/>
    </xf>
    <xf borderId="1" fillId="0" fontId="37" numFmtId="0" xfId="0" applyAlignment="1" applyBorder="1" applyFont="1">
      <alignment horizontal="left" readingOrder="0" vertical="center"/>
    </xf>
    <xf borderId="1" fillId="2" fontId="15" numFmtId="165" xfId="0" applyAlignment="1" applyBorder="1" applyFill="1" applyFont="1" applyNumberFormat="1">
      <alignment horizontal="center" readingOrder="0" vertical="center"/>
    </xf>
    <xf borderId="0" fillId="4" fontId="37" numFmtId="0" xfId="0" applyAlignment="1" applyFill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0" fillId="0" fontId="37" numFmtId="0" xfId="0" applyAlignment="1" applyFont="1">
      <alignment horizontal="left" vertical="center"/>
    </xf>
    <xf borderId="0" fillId="0" fontId="14" numFmtId="0" xfId="0" applyAlignment="1" applyFont="1">
      <alignment horizontal="center"/>
    </xf>
    <xf borderId="0" fillId="0" fontId="14" numFmtId="165" xfId="0" applyAlignment="1" applyFont="1" applyNumberFormat="1">
      <alignment horizontal="center" readingOrder="0"/>
    </xf>
    <xf borderId="2" fillId="3" fontId="1" numFmtId="0" xfId="0" applyAlignment="1" applyBorder="1" applyFill="1" applyFont="1">
      <alignment horizontal="center" readingOrder="0" vertical="center"/>
    </xf>
    <xf borderId="6" fillId="0" fontId="37" numFmtId="0" xfId="0" applyAlignment="1" applyBorder="1" applyFont="1">
      <alignment horizontal="center" readingOrder="0" vertical="center"/>
    </xf>
    <xf borderId="6" fillId="0" fontId="37" numFmtId="165" xfId="0" applyAlignment="1" applyBorder="1" applyFont="1" applyNumberFormat="1">
      <alignment horizontal="center" readingOrder="0" vertical="center"/>
    </xf>
    <xf borderId="6" fillId="0" fontId="37" numFmtId="0" xfId="0" applyAlignment="1" applyBorder="1" applyFont="1">
      <alignment horizontal="left" readingOrder="0" vertical="center"/>
    </xf>
    <xf borderId="1" fillId="2" fontId="19" numFmtId="167" xfId="0" applyAlignment="1" applyBorder="1" applyFill="1" applyFont="1" applyNumberForma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2" fontId="42" numFmtId="165" xfId="0" applyAlignment="1" applyBorder="1" applyFill="1" applyFont="1" applyNumberFormat="1">
      <alignment shrinkToFit="0" wrapText="0"/>
    </xf>
    <xf borderId="1" fillId="0" fontId="42" numFmtId="0" xfId="0" applyBorder="1" applyFont="1"/>
    <xf borderId="1" fillId="2" fontId="42" numFmtId="0" xfId="0" applyAlignment="1" applyBorder="1" applyFill="1" applyFont="1">
      <alignment shrinkToFit="0" wrapText="0"/>
    </xf>
    <xf borderId="1" fillId="4" fontId="42" numFmtId="0" xfId="0" applyBorder="1" applyFill="1" applyFont="1"/>
    <xf borderId="1" fillId="3" fontId="42" numFmtId="0" xfId="0" applyBorder="1" applyFill="1" applyFont="1"/>
    <xf borderId="1" fillId="7" fontId="42" numFmtId="165" xfId="0" applyAlignment="1" applyBorder="1" applyFill="1" applyFont="1" applyNumberFormat="1">
      <alignment shrinkToFit="0" wrapText="0"/>
    </xf>
    <xf borderId="1" fillId="7" fontId="42" numFmtId="0" xfId="0" applyAlignment="1" applyBorder="1" applyFill="1" applyFont="1">
      <alignment shrinkToFit="0" wrapText="0"/>
    </xf>
    <xf borderId="0" fillId="2" fontId="43" numFmtId="0" xfId="0" applyFill="1" applyFont="1"/>
    <xf borderId="0" fillId="2" fontId="43" numFmtId="0" xfId="0" applyAlignment="1" applyFill="1" applyFont="1">
      <alignment vertical="bottom"/>
    </xf>
    <xf borderId="0" fillId="0" fontId="5" numFmtId="0" xfId="0" applyAlignment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1" fillId="0" fontId="37" numFmtId="0" xfId="0" applyAlignment="1" applyBorder="1" applyFont="1">
      <alignment horizontal="center" readingOrder="0"/>
    </xf>
    <xf borderId="0" fillId="0" fontId="44" numFmtId="0" xfId="0" applyFont="1"/>
    <xf borderId="1" fillId="0" fontId="45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left" readingOrder="0"/>
    </xf>
    <xf borderId="1" fillId="0" fontId="16" numFmtId="0" xfId="0" applyAlignment="1" applyBorder="1" applyFont="1">
      <alignment readingOrder="0"/>
    </xf>
    <xf borderId="1" fillId="0" fontId="16" numFmtId="0" xfId="0" applyBorder="1" applyFont="1"/>
    <xf borderId="1" fillId="0" fontId="16" numFmtId="0" xfId="0" applyAlignment="1" applyBorder="1" applyFont="1">
      <alignment horizontal="left" readingOrder="0"/>
    </xf>
    <xf borderId="0" fillId="2" fontId="46" numFmtId="0" xfId="0" applyAlignment="1" applyFill="1" applyFont="1">
      <alignment horizontal="center" vertical="bottom"/>
    </xf>
    <xf borderId="0" fillId="2" fontId="24" numFmtId="165" xfId="0" applyAlignment="1" applyFill="1" applyFont="1" applyNumberFormat="1">
      <alignment horizontal="center" readingOrder="0"/>
    </xf>
    <xf borderId="1" fillId="0" fontId="23" numFmtId="0" xfId="0" applyAlignment="1" applyBorder="1" applyFont="1">
      <alignment horizontal="center"/>
    </xf>
    <xf borderId="1" fillId="0" fontId="16" numFmtId="0" xfId="0" applyAlignment="1" applyBorder="1" applyFont="1">
      <alignment horizontal="left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Font="1"/>
    <xf borderId="7" fillId="0" fontId="10" numFmtId="0" xfId="0" applyBorder="1" applyFont="1"/>
    <xf borderId="0" fillId="0" fontId="39" numFmtId="0" xfId="0" applyFont="1"/>
    <xf borderId="1" fillId="0" fontId="45" numFmtId="0" xfId="0" applyAlignment="1" applyBorder="1" applyFont="1">
      <alignment horizontal="left"/>
    </xf>
    <xf borderId="1" fillId="0" fontId="47" numFmtId="0" xfId="0" applyAlignment="1" applyBorder="1" applyFont="1">
      <alignment horizontal="left"/>
    </xf>
    <xf borderId="1" fillId="0" fontId="47" numFmtId="0" xfId="0" applyAlignment="1" applyBorder="1" applyFont="1">
      <alignment horizontal="left" readingOrder="0"/>
    </xf>
    <xf borderId="0" fillId="0" fontId="47" numFmtId="0" xfId="0" applyAlignment="1" applyFont="1">
      <alignment horizontal="left"/>
    </xf>
    <xf borderId="0" fillId="0" fontId="34" numFmtId="0" xfId="0" applyAlignment="1" applyFont="1">
      <alignment readingOrder="0"/>
    </xf>
    <xf borderId="0" fillId="2" fontId="24" numFmtId="0" xfId="0" applyAlignment="1" applyFill="1" applyFont="1">
      <alignment horizontal="center" readingOrder="0"/>
    </xf>
    <xf borderId="1" fillId="0" fontId="33" numFmtId="0" xfId="0" applyAlignment="1" applyBorder="1" applyFont="1">
      <alignment horizontal="center"/>
    </xf>
    <xf borderId="1" fillId="0" fontId="33" numFmtId="0" xfId="0" applyBorder="1" applyFont="1"/>
    <xf borderId="1" fillId="0" fontId="34" numFmtId="0" xfId="0" applyBorder="1" applyFont="1"/>
    <xf borderId="1" fillId="0" fontId="33" numFmtId="0" xfId="0" applyAlignment="1" applyBorder="1" applyFont="1">
      <alignment horizontal="right" readingOrder="0"/>
    </xf>
    <xf borderId="1" fillId="0" fontId="33" numFmtId="0" xfId="0" applyAlignment="1" applyBorder="1" applyFont="1">
      <alignment horizontal="center" vertical="center"/>
    </xf>
    <xf borderId="0" fillId="4" fontId="48" numFmtId="0" xfId="0" applyAlignment="1" applyFill="1" applyFont="1">
      <alignment horizontal="center" readingOrder="0"/>
    </xf>
    <xf borderId="1" fillId="0" fontId="38" numFmtId="0" xfId="0" applyAlignment="1" applyBorder="1" applyFont="1">
      <alignment horizontal="left" vertical="center"/>
    </xf>
    <xf borderId="1" fillId="0" fontId="33" numFmtId="0" xfId="0" applyAlignment="1" applyBorder="1" applyFont="1">
      <alignment horizontal="left" vertical="center"/>
    </xf>
    <xf borderId="1" fillId="0" fontId="38" numFmtId="0" xfId="0" applyAlignment="1" applyBorder="1" applyFont="1">
      <alignment horizontal="left" readingOrder="0" vertical="center"/>
    </xf>
    <xf borderId="0" fillId="0" fontId="30" numFmtId="0" xfId="0" applyAlignment="1" applyFont="1">
      <alignment vertical="bottom"/>
    </xf>
    <xf borderId="1" fillId="2" fontId="24" numFmtId="0" xfId="0" applyAlignment="1" applyBorder="1" applyFill="1" applyFont="1">
      <alignment horizontal="center" vertical="center"/>
    </xf>
    <xf borderId="0" fillId="0" fontId="2" numFmtId="0" xfId="0" applyFont="1"/>
    <xf borderId="0" fillId="0" fontId="30" numFmtId="0" xfId="0" applyAlignment="1" applyFont="1">
      <alignment horizontal="right" vertical="bottom"/>
    </xf>
    <xf borderId="0" fillId="0" fontId="30" numFmtId="0" xfId="0" applyAlignment="1" applyFont="1">
      <alignment readingOrder="0" vertical="bottom"/>
    </xf>
    <xf borderId="0" fillId="3" fontId="20" numFmtId="0" xfId="0" applyAlignment="1" applyFill="1" applyFont="1">
      <alignment horizontal="center" readingOrder="0"/>
    </xf>
    <xf borderId="0" fillId="3" fontId="20" numFmtId="14" xfId="0" applyAlignment="1" applyFill="1" applyFont="1" applyNumberFormat="1">
      <alignment horizontal="center"/>
    </xf>
    <xf borderId="0" fillId="3" fontId="20" numFmtId="168" xfId="0" applyAlignment="1" applyFill="1" applyFont="1" applyNumberFormat="1">
      <alignment horizontal="center"/>
    </xf>
    <xf borderId="0" fillId="0" fontId="2" numFmtId="168" xfId="0" applyFont="1" applyNumberFormat="1"/>
    <xf borderId="0" fillId="2" fontId="49" numFmtId="0" xfId="0" applyAlignment="1" applyFill="1" applyFont="1">
      <alignment horizontal="center" readingOrder="0" vertical="center"/>
    </xf>
    <xf borderId="0" fillId="2" fontId="50" numFmtId="165" xfId="0" applyAlignment="1" applyFill="1" applyFont="1" applyNumberFormat="1">
      <alignment horizontal="left" readingOrder="0" vertical="center"/>
    </xf>
    <xf borderId="0" fillId="2" fontId="24" numFmtId="0" xfId="0" applyAlignment="1" applyFill="1" applyFont="1">
      <alignment readingOrder="0" vertical="center"/>
    </xf>
    <xf borderId="0" fillId="2" fontId="51" numFmtId="0" xfId="0" applyAlignment="1" applyFill="1" applyFont="1">
      <alignment horizontal="left" readingOrder="0"/>
    </xf>
    <xf borderId="0" fillId="2" fontId="51" numFmtId="169" xfId="0" applyAlignment="1" applyFill="1" applyFont="1" applyNumberFormat="1">
      <alignment horizontal="left" readingOrder="0"/>
    </xf>
    <xf borderId="0" fillId="0" fontId="52" numFmtId="0" xfId="0" applyAlignment="1" applyFont="1">
      <alignment horizontal="left"/>
    </xf>
    <xf borderId="0" fillId="2" fontId="51" numFmtId="0" xfId="0" applyAlignment="1" applyFill="1" applyFont="1">
      <alignment horizontal="left"/>
    </xf>
    <xf borderId="0" fillId="2" fontId="51" numFmtId="0" xfId="0" applyAlignment="1" applyFill="1" applyFont="1">
      <alignment horizontal="left"/>
    </xf>
    <xf borderId="5" fillId="8" fontId="43" numFmtId="0" xfId="0" applyAlignment="1" applyBorder="1" applyFill="1" applyFont="1">
      <alignment horizontal="center" readingOrder="0" vertical="bottom"/>
    </xf>
    <xf borderId="5" fillId="8" fontId="43" numFmtId="0" xfId="0" applyAlignment="1" applyBorder="1" applyFill="1" applyFont="1">
      <alignment horizontal="center" vertical="bottom"/>
    </xf>
    <xf borderId="0" fillId="9" fontId="43" numFmtId="0" xfId="0" applyAlignment="1" applyFill="1" applyFont="1">
      <alignment horizontal="center" readingOrder="0" vertical="bottom"/>
    </xf>
    <xf borderId="0" fillId="10" fontId="43" numFmtId="0" xfId="0" applyAlignment="1" applyFill="1" applyFont="1">
      <alignment horizontal="center" readingOrder="0" vertical="bottom"/>
    </xf>
    <xf borderId="5" fillId="11" fontId="43" numFmtId="0" xfId="0" applyAlignment="1" applyBorder="1" applyFill="1" applyFont="1">
      <alignment horizontal="center" readingOrder="0" vertical="bottom"/>
    </xf>
    <xf borderId="0" fillId="0" fontId="50" numFmtId="165" xfId="0" applyAlignment="1" applyFont="1" applyNumberFormat="1">
      <alignment horizontal="left" readingOrder="0" vertical="center"/>
    </xf>
    <xf borderId="6" fillId="8" fontId="43" numFmtId="0" xfId="0" applyAlignment="1" applyBorder="1" applyFill="1" applyFont="1">
      <alignment horizontal="center" readingOrder="0" vertical="bottom"/>
    </xf>
    <xf borderId="6" fillId="8" fontId="43" numFmtId="0" xfId="0" applyAlignment="1" applyBorder="1" applyFill="1" applyFont="1">
      <alignment horizontal="center" vertical="bottom"/>
    </xf>
    <xf borderId="1" fillId="9" fontId="43" numFmtId="0" xfId="0" applyAlignment="1" applyBorder="1" applyFill="1" applyFont="1">
      <alignment horizontal="center" readingOrder="0" vertical="bottom"/>
    </xf>
    <xf borderId="1" fillId="10" fontId="43" numFmtId="0" xfId="0" applyAlignment="1" applyBorder="1" applyFill="1" applyFont="1">
      <alignment horizontal="center" readingOrder="0" vertical="bottom"/>
    </xf>
    <xf borderId="6" fillId="11" fontId="43" numFmtId="0" xfId="0" applyAlignment="1" applyBorder="1" applyFill="1" applyFont="1">
      <alignment horizontal="center" readingOrder="0" vertical="bottom"/>
    </xf>
    <xf borderId="1" fillId="0" fontId="53" numFmtId="0" xfId="0" applyAlignment="1" applyBorder="1" applyFont="1">
      <alignment horizontal="center" readingOrder="0" vertical="center"/>
    </xf>
    <xf borderId="1" fillId="0" fontId="53" numFmtId="165" xfId="0" applyAlignment="1" applyBorder="1" applyFont="1" applyNumberFormat="1">
      <alignment horizontal="center" readingOrder="0" vertical="center"/>
    </xf>
    <xf borderId="0" fillId="0" fontId="54" numFmtId="0" xfId="0" applyAlignment="1" applyFont="1">
      <alignment horizontal="left"/>
    </xf>
    <xf borderId="0" fillId="2" fontId="51" numFmtId="167" xfId="0" applyAlignment="1" applyFill="1" applyFont="1" applyNumberFormat="1">
      <alignment horizontal="left" readingOrder="0"/>
    </xf>
    <xf borderId="1" fillId="2" fontId="37" numFmtId="0" xfId="0" applyAlignment="1" applyBorder="1" applyFill="1" applyFont="1">
      <alignment horizontal="center" readingOrder="0" vertical="center"/>
    </xf>
    <xf borderId="1" fillId="0" fontId="53" numFmtId="0" xfId="0" applyAlignment="1" applyBorder="1" applyFont="1">
      <alignment horizontal="center" vertical="center"/>
    </xf>
    <xf borderId="1" fillId="2" fontId="33" numFmtId="0" xfId="0" applyAlignment="1" applyBorder="1" applyFill="1" applyFont="1">
      <alignment horizontal="center" vertical="center"/>
    </xf>
    <xf borderId="1" fillId="0" fontId="37" numFmtId="0" xfId="0" applyAlignment="1" applyBorder="1" applyFont="1">
      <alignment horizontal="center" readingOrder="0" vertical="center"/>
    </xf>
    <xf borderId="1" fillId="2" fontId="37" numFmtId="0" xfId="0" applyAlignment="1" applyBorder="1" applyFill="1" applyFont="1">
      <alignment horizontal="center" vertical="center"/>
    </xf>
    <xf borderId="1" fillId="2" fontId="37" numFmtId="0" xfId="0" applyAlignment="1" applyBorder="1" applyFill="1" applyFont="1">
      <alignment horizontal="center" readingOrder="0" vertical="center"/>
    </xf>
    <xf borderId="1" fillId="0" fontId="37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readingOrder="0" vertical="center"/>
    </xf>
    <xf borderId="1" fillId="2" fontId="37" numFmtId="4" xfId="0" applyAlignment="1" applyBorder="1" applyFill="1" applyFont="1" applyNumberFormat="1">
      <alignment horizontal="center" vertical="center"/>
    </xf>
    <xf borderId="1" fillId="2" fontId="33" numFmtId="0" xfId="0" applyAlignment="1" applyBorder="1" applyFill="1" applyFont="1">
      <alignment horizontal="center" readingOrder="0" vertical="center"/>
    </xf>
    <xf borderId="1" fillId="0" fontId="37" numFmtId="49" xfId="0" applyAlignment="1" applyBorder="1" applyFont="1" applyNumberFormat="1">
      <alignment horizontal="center" readingOrder="0" vertical="center"/>
    </xf>
    <xf borderId="1" fillId="2" fontId="37" numFmtId="165" xfId="0" applyAlignment="1" applyBorder="1" applyFill="1" applyFont="1" applyNumberFormat="1">
      <alignment horizontal="center" readingOrder="0" vertical="center"/>
    </xf>
    <xf borderId="1" fillId="0" fontId="53" numFmtId="165" xfId="0" applyAlignment="1" applyBorder="1" applyFont="1" applyNumberFormat="1">
      <alignment horizontal="center" vertical="center"/>
    </xf>
    <xf borderId="1" fillId="2" fontId="37" numFmtId="167" xfId="0" applyAlignment="1" applyBorder="1" applyFill="1" applyFont="1" applyNumberFormat="1">
      <alignment horizontal="center" readingOrder="0" vertical="center"/>
    </xf>
    <xf borderId="1" fillId="0" fontId="37" numFmtId="4" xfId="0" applyAlignment="1" applyBorder="1" applyFont="1" applyNumberFormat="1">
      <alignment horizontal="center" vertical="center"/>
    </xf>
    <xf borderId="1" fillId="2" fontId="37" numFmtId="166" xfId="0" applyAlignment="1" applyBorder="1" applyFill="1" applyFont="1" applyNumberFormat="1">
      <alignment horizontal="center" readingOrder="0" vertical="center"/>
    </xf>
    <xf borderId="8" fillId="0" fontId="2" numFmtId="0" xfId="0" applyBorder="1" applyFont="1"/>
    <xf borderId="1" fillId="0" fontId="53" numFmtId="0" xfId="0" applyAlignment="1" applyBorder="1" applyFont="1">
      <alignment horizontal="center" readingOrder="0"/>
    </xf>
    <xf borderId="1" fillId="2" fontId="53" numFmtId="165" xfId="0" applyAlignment="1" applyBorder="1" applyFill="1" applyFont="1" applyNumberFormat="1">
      <alignment horizontal="center" readingOrder="0" vertical="center"/>
    </xf>
    <xf borderId="1" fillId="2" fontId="53" numFmtId="0" xfId="0" applyAlignment="1" applyBorder="1" applyFill="1" applyFont="1">
      <alignment horizontal="center" readingOrder="0" vertical="center"/>
    </xf>
    <xf borderId="1" fillId="2" fontId="53" numFmtId="0" xfId="0" applyAlignment="1" applyBorder="1" applyFill="1" applyFont="1">
      <alignment horizontal="center" vertical="center"/>
    </xf>
    <xf borderId="1" fillId="2" fontId="37" numFmtId="4" xfId="0" applyAlignment="1" applyBorder="1" applyFill="1" applyFont="1" applyNumberFormat="1">
      <alignment horizontal="center" readingOrder="0" vertical="center"/>
    </xf>
    <xf borderId="1" fillId="2" fontId="37" numFmtId="165" xfId="0" applyAlignment="1" applyBorder="1" applyFill="1" applyFont="1" applyNumberFormat="1">
      <alignment horizontal="center" vertical="center"/>
    </xf>
    <xf borderId="8" fillId="7" fontId="37" numFmtId="0" xfId="0" applyAlignment="1" applyBorder="1" applyFill="1" applyFont="1">
      <alignment horizontal="center" readingOrder="0" vertical="center"/>
    </xf>
    <xf borderId="2" fillId="0" fontId="43" numFmtId="0" xfId="0" applyAlignment="1" applyBorder="1" applyFont="1">
      <alignment horizontal="center" vertical="bottom"/>
    </xf>
    <xf borderId="1" fillId="0" fontId="43" numFmtId="0" xfId="0" applyAlignment="1" applyBorder="1" applyFont="1">
      <alignment horizontal="center" vertical="bottom"/>
    </xf>
    <xf borderId="5" fillId="0" fontId="43" numFmtId="0" xfId="0" applyAlignment="1" applyBorder="1" applyFont="1">
      <alignment horizontal="center" readingOrder="0" vertical="center"/>
    </xf>
    <xf borderId="5" fillId="4" fontId="43" numFmtId="165" xfId="0" applyAlignment="1" applyBorder="1" applyFill="1" applyFont="1" applyNumberFormat="1">
      <alignment horizontal="center" readingOrder="0" vertical="center"/>
    </xf>
    <xf borderId="1" fillId="0" fontId="43" numFmtId="0" xfId="0" applyAlignment="1" applyBorder="1" applyFont="1">
      <alignment horizontal="center" readingOrder="0" vertical="center"/>
    </xf>
    <xf borderId="5" fillId="0" fontId="43" numFmtId="0" xfId="0" applyAlignment="1" applyBorder="1" applyFont="1">
      <alignment horizontal="center" vertical="center"/>
    </xf>
    <xf borderId="5" fillId="0" fontId="43" numFmtId="165" xfId="0" applyAlignment="1" applyBorder="1" applyFont="1" applyNumberFormat="1">
      <alignment horizontal="center" readingOrder="0" vertical="center"/>
    </xf>
    <xf borderId="1" fillId="0" fontId="43" numFmtId="0" xfId="0" applyAlignment="1" applyBorder="1" applyFont="1">
      <alignment horizontal="center" vertical="center"/>
    </xf>
    <xf borderId="9" fillId="0" fontId="4" numFmtId="0" xfId="0" applyBorder="1" applyFont="1"/>
    <xf borderId="5" fillId="4" fontId="43" numFmtId="165" xfId="0" applyAlignment="1" applyBorder="1" applyFill="1" applyFont="1" applyNumberFormat="1">
      <alignment horizontal="center" vertical="center"/>
    </xf>
    <xf borderId="0" fillId="0" fontId="10" numFmtId="165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/>
    </xf>
    <xf borderId="0" fillId="0" fontId="8" numFmtId="0" xfId="0" applyFont="1"/>
    <xf borderId="0" fillId="0" fontId="2" numFmtId="0" xfId="0" applyFont="1"/>
    <xf borderId="0" fillId="4" fontId="5" numFmtId="0" xfId="0" applyAlignment="1" applyFill="1" applyFont="1">
      <alignment horizontal="center" readingOrder="0"/>
    </xf>
    <xf borderId="0" fillId="0" fontId="8" numFmtId="0" xfId="0" applyFont="1"/>
    <xf borderId="0" fillId="2" fontId="3" numFmtId="0" xfId="0" applyAlignment="1" applyFill="1" applyFont="1">
      <alignment horizontal="center"/>
    </xf>
    <xf borderId="0" fillId="2" fontId="8" numFmtId="0" xfId="0" applyFill="1" applyFont="1"/>
    <xf borderId="0" fillId="2" fontId="30" numFmtId="0" xfId="0" applyFill="1" applyFont="1"/>
    <xf borderId="2" fillId="12" fontId="43" numFmtId="0" xfId="0" applyAlignment="1" applyBorder="1" applyFill="1" applyFont="1">
      <alignment horizontal="center"/>
    </xf>
    <xf borderId="4" fillId="12" fontId="43" numFmtId="0" xfId="0" applyAlignment="1" applyBorder="1" applyFill="1" applyFont="1">
      <alignment horizontal="center"/>
    </xf>
    <xf borderId="2" fillId="13" fontId="43" numFmtId="0" xfId="0" applyAlignment="1" applyBorder="1" applyFill="1" applyFont="1">
      <alignment horizontal="center"/>
    </xf>
    <xf borderId="1" fillId="12" fontId="55" numFmtId="0" xfId="0" applyAlignment="1" applyBorder="1" applyFill="1" applyFont="1">
      <alignment horizontal="center"/>
    </xf>
    <xf borderId="1" fillId="12" fontId="8" numFmtId="0" xfId="0" applyAlignment="1" applyBorder="1" applyFill="1" applyFont="1">
      <alignment horizontal="center"/>
    </xf>
    <xf borderId="1" fillId="12" fontId="43" numFmtId="0" xfId="0" applyAlignment="1" applyBorder="1" applyFill="1" applyFont="1">
      <alignment horizontal="center"/>
    </xf>
    <xf borderId="1" fillId="12" fontId="43" numFmtId="0" xfId="0" applyAlignment="1" applyBorder="1" applyFill="1" applyFont="1">
      <alignment horizontal="center"/>
    </xf>
    <xf borderId="0" fillId="12" fontId="8" numFmtId="0" xfId="0" applyAlignment="1" applyFill="1" applyFont="1">
      <alignment horizontal="center" readingOrder="0" vertical="center"/>
    </xf>
    <xf borderId="1" fillId="3" fontId="43" numFmtId="0" xfId="0" applyAlignment="1" applyBorder="1" applyFill="1" applyFont="1">
      <alignment horizontal="center"/>
    </xf>
    <xf borderId="1" fillId="13" fontId="43" numFmtId="0" xfId="0" applyAlignment="1" applyBorder="1" applyFill="1" applyFont="1">
      <alignment horizontal="center"/>
    </xf>
    <xf borderId="1" fillId="5" fontId="43" numFmtId="0" xfId="0" applyAlignment="1" applyBorder="1" applyFill="1" applyFont="1">
      <alignment horizontal="center"/>
    </xf>
    <xf borderId="1" fillId="14" fontId="4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 readingOrder="0" vertical="bottom"/>
    </xf>
    <xf borderId="8" fillId="0" fontId="8" numFmtId="4" xfId="0" applyAlignment="1" applyBorder="1" applyFont="1" applyNumberForma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55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/>
    </xf>
    <xf borderId="1" fillId="0" fontId="8" numFmtId="4" xfId="0" applyAlignment="1" applyBorder="1" applyFont="1" applyNumberFormat="1">
      <alignment horizontal="center" vertical="bottom"/>
    </xf>
    <xf borderId="10" fillId="0" fontId="2" numFmtId="0" xfId="0" applyBorder="1" applyFont="1"/>
    <xf borderId="8" fillId="0" fontId="4" numFmtId="0" xfId="0" applyBorder="1" applyFont="1"/>
    <xf borderId="1" fillId="2" fontId="3" numFmtId="0" xfId="0" applyAlignment="1" applyBorder="1" applyFill="1" applyFont="1">
      <alignment horizontal="center" vertical="bottom"/>
    </xf>
    <xf borderId="8" fillId="0" fontId="3" numFmtId="0" xfId="0" applyAlignment="1" applyBorder="1" applyFont="1">
      <alignment horizontal="center" vertical="center"/>
    </xf>
    <xf borderId="0" fillId="2" fontId="3" numFmtId="4" xfId="0" applyAlignment="1" applyFill="1" applyFont="1" applyNumberFormat="1">
      <alignment horizontal="center" vertical="bottom"/>
    </xf>
    <xf borderId="1" fillId="4" fontId="43" numFmtId="0" xfId="0" applyAlignment="1" applyBorder="1" applyFill="1" applyFont="1">
      <alignment horizontal="center" readingOrder="0" vertical="center"/>
    </xf>
    <xf borderId="1" fillId="0" fontId="4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2" fillId="2" fontId="43" numFmtId="0" xfId="0" applyAlignment="1" applyBorder="1" applyFill="1" applyFont="1">
      <alignment horizontal="center" vertical="bottom"/>
    </xf>
    <xf borderId="1" fillId="2" fontId="43" numFmtId="0" xfId="0" applyAlignment="1" applyBorder="1" applyFill="1" applyFont="1">
      <alignment horizontal="center" vertical="bottom"/>
    </xf>
    <xf borderId="5" fillId="2" fontId="43" numFmtId="0" xfId="0" applyAlignment="1" applyBorder="1" applyFill="1" applyFont="1">
      <alignment horizontal="center" readingOrder="0" vertical="center"/>
    </xf>
    <xf borderId="5" fillId="2" fontId="43" numFmtId="165" xfId="0" applyAlignment="1" applyBorder="1" applyFill="1" applyFont="1" applyNumberFormat="1">
      <alignment horizontal="center" readingOrder="0" vertical="center"/>
    </xf>
    <xf borderId="1" fillId="2" fontId="43" numFmtId="0" xfId="0" applyAlignment="1" applyBorder="1" applyFill="1" applyFont="1">
      <alignment horizontal="center" readingOrder="0" vertical="center"/>
    </xf>
    <xf borderId="5" fillId="2" fontId="43" numFmtId="0" xfId="0" applyAlignment="1" applyBorder="1" applyFill="1" applyFont="1">
      <alignment horizontal="center" vertical="center"/>
    </xf>
    <xf borderId="5" fillId="2" fontId="43" numFmtId="165" xfId="0" applyAlignment="1" applyBorder="1" applyFill="1" applyFont="1" applyNumberFormat="1">
      <alignment horizontal="center" vertical="center"/>
    </xf>
    <xf borderId="1" fillId="2" fontId="43" numFmtId="0" xfId="0" applyAlignment="1" applyBorder="1" applyFill="1" applyFont="1">
      <alignment horizontal="center" vertical="center"/>
    </xf>
    <xf borderId="8" fillId="0" fontId="8" numFmtId="4" xfId="0" applyAlignment="1" applyBorder="1" applyFont="1" applyNumberFormat="1">
      <alignment horizontal="center" readingOrder="0" vertical="bottom"/>
    </xf>
    <xf borderId="10" fillId="2" fontId="2" numFmtId="0" xfId="0" applyBorder="1" applyFill="1" applyFont="1"/>
    <xf borderId="8" fillId="0" fontId="8" numFmtId="165" xfId="0" applyAlignment="1" applyBorder="1" applyFont="1" applyNumberFormat="1">
      <alignment horizontal="center" readingOrder="0" vertical="bottom"/>
    </xf>
    <xf borderId="1" fillId="2" fontId="56" numFmtId="0" xfId="0" applyAlignment="1" applyBorder="1" applyFill="1" applyFont="1">
      <alignment horizontal="center" vertical="bottom"/>
    </xf>
    <xf borderId="0" fillId="2" fontId="56" numFmtId="4" xfId="0" applyAlignment="1" applyFill="1" applyFont="1" applyNumberFormat="1">
      <alignment horizontal="center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2" fontId="43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center"/>
    </xf>
    <xf borderId="0" fillId="2" fontId="3" numFmtId="0" xfId="0" applyAlignment="1" applyFill="1" applyFont="1">
      <alignment horizontal="center" vertical="bottom"/>
    </xf>
    <xf borderId="0" fillId="2" fontId="19" numFmtId="165" xfId="0" applyAlignment="1" applyFill="1" applyFont="1" applyNumberFormat="1">
      <alignment horizontal="center" vertical="bottom"/>
    </xf>
    <xf borderId="1" fillId="0" fontId="57" numFmtId="4" xfId="0" applyAlignment="1" applyBorder="1" applyFont="1" applyNumberFormat="1">
      <alignment horizontal="center" vertical="bottom"/>
    </xf>
    <xf borderId="1" fillId="2" fontId="19" numFmtId="4" xfId="0" applyAlignment="1" applyBorder="1" applyFill="1" applyFont="1" applyNumberFormat="1">
      <alignment horizontal="center" vertical="bottom"/>
    </xf>
    <xf borderId="1" fillId="0" fontId="57" numFmtId="4" xfId="0" applyAlignment="1" applyBorder="1" applyFont="1" applyNumberFormat="1">
      <alignment horizontal="center" readingOrder="0" vertical="bottom"/>
    </xf>
    <xf borderId="8" fillId="0" fontId="19" numFmtId="165" xfId="0" applyAlignment="1" applyBorder="1" applyFont="1" applyNumberFormat="1">
      <alignment horizontal="center" readingOrder="0" vertical="bottom"/>
    </xf>
    <xf borderId="1" fillId="2" fontId="57" numFmtId="0" xfId="0" applyAlignment="1" applyBorder="1" applyFill="1" applyFont="1">
      <alignment horizontal="center" readingOrder="0" vertical="bottom"/>
    </xf>
    <xf borderId="1" fillId="2" fontId="57" numFmtId="0" xfId="0" applyAlignment="1" applyBorder="1" applyFill="1" applyFont="1">
      <alignment horizontal="center" vertical="bottom"/>
    </xf>
    <xf borderId="1" fillId="2" fontId="19" numFmtId="165" xfId="0" applyAlignment="1" applyBorder="1" applyFill="1" applyFont="1" applyNumberFormat="1">
      <alignment horizontal="center" readingOrder="0" vertical="bottom"/>
    </xf>
    <xf borderId="1" fillId="2" fontId="16" numFmtId="0" xfId="0" applyAlignment="1" applyBorder="1" applyFill="1" applyFont="1">
      <alignment horizontal="center" vertical="center"/>
    </xf>
    <xf borderId="1" fillId="0" fontId="19" numFmtId="4" xfId="0" applyAlignment="1" applyBorder="1" applyFont="1" applyNumberFormat="1">
      <alignment horizontal="center" vertical="bottom"/>
    </xf>
    <xf borderId="1" fillId="2" fontId="19" numFmtId="0" xfId="0" applyAlignment="1" applyBorder="1" applyFill="1" applyFont="1">
      <alignment horizontal="center" readingOrder="0" vertical="bottom"/>
    </xf>
    <xf borderId="1" fillId="2" fontId="19" numFmtId="4" xfId="0" applyAlignment="1" applyBorder="1" applyFill="1" applyFont="1" applyNumberFormat="1">
      <alignment horizontal="center" readingOrder="0" vertical="bottom"/>
    </xf>
    <xf borderId="1" fillId="2" fontId="19" numFmtId="166" xfId="0" applyAlignment="1" applyBorder="1" applyFill="1" applyFont="1" applyNumberFormat="1">
      <alignment horizontal="center" readingOrder="0" vertical="bottom"/>
    </xf>
    <xf borderId="1" fillId="2" fontId="57" numFmtId="0" xfId="0" applyAlignment="1" applyBorder="1" applyFill="1" applyFont="1">
      <alignment vertical="bottom"/>
    </xf>
    <xf borderId="1" fillId="2" fontId="57" numFmtId="0" xfId="0" applyAlignment="1" applyBorder="1" applyFill="1" applyFont="1">
      <alignment horizontal="center" readingOrder="0" vertical="center"/>
    </xf>
    <xf borderId="1" fillId="2" fontId="55" numFmtId="0" xfId="0" applyAlignment="1" applyBorder="1" applyFill="1" applyFont="1">
      <alignment horizontal="center" vertical="center"/>
    </xf>
    <xf borderId="1" fillId="0" fontId="19" numFmtId="165" xfId="0" applyAlignment="1" applyBorder="1" applyFont="1" applyNumberFormat="1">
      <alignment horizontal="center" readingOrder="0" vertical="bottom"/>
    </xf>
    <xf borderId="1" fillId="0" fontId="43" numFmtId="0" xfId="0" applyAlignment="1" applyBorder="1" applyFont="1">
      <alignment horizontal="center" vertical="center"/>
    </xf>
    <xf borderId="1" fillId="2" fontId="19" numFmtId="4" xfId="0" applyAlignment="1" applyBorder="1" applyFill="1" applyFont="1" applyNumberFormat="1">
      <alignment horizontal="center" vertical="center"/>
    </xf>
    <xf borderId="1" fillId="2" fontId="58" numFmtId="0" xfId="0" applyAlignment="1" applyBorder="1" applyFill="1" applyFont="1">
      <alignment horizontal="center" readingOrder="0" vertical="center"/>
    </xf>
    <xf borderId="1" fillId="2" fontId="59" numFmtId="0" xfId="0" applyAlignment="1" applyBorder="1" applyFill="1" applyFont="1">
      <alignment horizontal="center" readingOrder="0" vertical="center"/>
    </xf>
    <xf borderId="1" fillId="2" fontId="8" numFmtId="0" xfId="0" applyAlignment="1" applyBorder="1" applyFill="1" applyFont="1">
      <alignment horizontal="center" vertical="bottom"/>
    </xf>
    <xf borderId="1" fillId="7" fontId="4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43" numFmtId="0" xfId="0" applyAlignment="1" applyBorder="1" applyFill="1" applyFont="1">
      <alignment horizontal="center" vertical="bottom"/>
    </xf>
    <xf borderId="1" fillId="2" fontId="8" numFmtId="165" xfId="0" applyAlignment="1" applyBorder="1" applyFill="1" applyFont="1" applyNumberFormat="1">
      <alignment horizontal="center" readingOrder="0" shrinkToFit="0" wrapText="0"/>
    </xf>
    <xf borderId="1" fillId="2" fontId="19" numFmtId="166" xfId="0" applyAlignment="1" applyBorder="1" applyFill="1" applyFont="1" applyNumberFormat="1">
      <alignment horizontal="center" readingOrder="0" vertical="center"/>
    </xf>
    <xf borderId="1" fillId="0" fontId="45" numFmtId="0" xfId="0" applyAlignment="1" applyBorder="1" applyFont="1">
      <alignment horizontal="center" readingOrder="0" vertical="center"/>
    </xf>
    <xf borderId="1" fillId="2" fontId="8" numFmtId="170" xfId="0" applyAlignment="1" applyBorder="1" applyFill="1" applyFont="1" applyNumberFormat="1">
      <alignment horizontal="center" shrinkToFit="0" wrapText="0"/>
    </xf>
    <xf borderId="1" fillId="2" fontId="8" numFmtId="165" xfId="0" applyAlignment="1" applyBorder="1" applyFill="1" applyFont="1" applyNumberFormat="1">
      <alignment horizontal="center" readingOrder="0" vertical="bottom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YR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261:H262" displayName="Table_1" name="Table_1" id="1">
  <tableColumns count="2">
    <tableColumn name="Column1" id="1"/>
    <tableColumn name="Column2" id="2"/>
  </tableColumns>
  <tableStyleInfo name="TY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s://echallan.parivahan.gov.in/report/print-page?challan_no=cXw%2FDguyd7MdASnk8Lu0mBL%2FdfFlrSAzKoWxyyJVxS4%3D" TargetMode="External"/><Relationship Id="rId4" Type="http://schemas.openxmlformats.org/officeDocument/2006/relationships/hyperlink" Target="https://echallan.parivahan.gov.in/report/print-page?challan_no=T%2B6hwYzBtDMRw6RN4JCUgWy4J8u1iI%2BJZ3qkpC2A0Cs%3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echallan.parivahan.gov.in/report/print-page?challan_no=pdOY7L3dRHjCB4iZBgwqQ%2FOOATUmLQPWiUViZGWeehg%3D" TargetMode="External"/><Relationship Id="rId6" Type="http://schemas.openxmlformats.org/officeDocument/2006/relationships/hyperlink" Target="https://echallan.parivahan.gov.in/report/print-page?challan_no=J1UpqrgAhHom0Y0j1F4ngijx%2BJJsKVX%2FkUpz5exbbLw%3D" TargetMode="External"/><Relationship Id="rId7" Type="http://schemas.openxmlformats.org/officeDocument/2006/relationships/hyperlink" Target="https://echallan.parivahan.gov.in/report/print-page?challan_no=XZn29L8XN4Iq0o5f3a7D4s2ZwiMvT%2B78%2B167rsK6Kj4%3D" TargetMode="External"/><Relationship Id="rId8" Type="http://schemas.openxmlformats.org/officeDocument/2006/relationships/hyperlink" Target="http://s.n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7.75"/>
    <col customWidth="1" min="3" max="3" width="20.13"/>
    <col customWidth="1" min="4" max="4" width="16.5"/>
    <col customWidth="1" min="5" max="5" width="19.63"/>
    <col customWidth="1" min="6" max="6" width="19.75"/>
    <col customWidth="1" min="7" max="7" width="14.5"/>
    <col customWidth="1" min="8" max="8" width="21.0"/>
    <col customWidth="1" min="9" max="9" width="15.38"/>
    <col customWidth="1" min="10" max="10" width="19.75"/>
    <col customWidth="1" min="11" max="11" width="18.63"/>
    <col customWidth="1" min="12" max="12" width="15.13"/>
    <col customWidth="1" min="13" max="13" width="16.0"/>
    <col customWidth="1" min="14" max="14" width="15.0"/>
    <col customWidth="1" min="15" max="15" width="18.13"/>
    <col customWidth="1" min="16" max="16" width="15.75"/>
    <col customWidth="1" min="18" max="18" width="18.13"/>
    <col customWidth="1" min="19" max="19" width="19.88"/>
  </cols>
  <sheetData>
    <row r="1" ht="36.0" customHeight="1">
      <c r="A1" s="1"/>
      <c r="B1" s="5" t="s">
        <v>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9"/>
    </row>
    <row r="2" ht="30.0" customHeight="1">
      <c r="A2" s="13"/>
      <c r="B2" s="23" t="s">
        <v>8</v>
      </c>
      <c r="C2" s="26" t="s">
        <v>29</v>
      </c>
      <c r="D2" s="26" t="s">
        <v>33</v>
      </c>
      <c r="E2" s="26" t="s">
        <v>34</v>
      </c>
      <c r="F2" s="26" t="s">
        <v>35</v>
      </c>
      <c r="G2" s="26"/>
      <c r="H2" s="31" t="s">
        <v>37</v>
      </c>
      <c r="I2" s="9"/>
      <c r="J2" s="26"/>
      <c r="K2" s="26" t="s">
        <v>41</v>
      </c>
      <c r="L2" s="26"/>
      <c r="M2" s="26" t="s">
        <v>43</v>
      </c>
      <c r="N2" s="26"/>
      <c r="O2" s="26" t="s">
        <v>44</v>
      </c>
      <c r="P2" s="26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ht="30.0" customHeight="1">
      <c r="A3" s="36"/>
      <c r="B3" s="38"/>
      <c r="C3" s="39" t="s">
        <v>57</v>
      </c>
      <c r="D3" s="39" t="s">
        <v>60</v>
      </c>
      <c r="E3" s="39" t="s">
        <v>62</v>
      </c>
      <c r="F3" s="41">
        <v>46548.0</v>
      </c>
      <c r="G3" s="47">
        <f>F3-F60</f>
        <v>260</v>
      </c>
      <c r="H3" s="39" t="s">
        <v>75</v>
      </c>
      <c r="I3" s="41">
        <v>46551.0</v>
      </c>
      <c r="J3" s="54">
        <f>I3-F60</f>
        <v>263</v>
      </c>
      <c r="K3" s="41">
        <v>46254.0</v>
      </c>
      <c r="L3" s="54">
        <f>K3-F60</f>
        <v>-34</v>
      </c>
      <c r="M3" s="58">
        <v>46295.0</v>
      </c>
      <c r="N3" s="54">
        <f>M3-F60</f>
        <v>7</v>
      </c>
      <c r="O3" s="61">
        <v>46336.0</v>
      </c>
      <c r="P3" s="54">
        <f>O3-F60</f>
        <v>48</v>
      </c>
      <c r="Q3" s="2" t="s">
        <v>101</v>
      </c>
    </row>
    <row r="4" ht="30.0" customHeight="1">
      <c r="A4" s="63"/>
      <c r="B4" s="65"/>
      <c r="C4" s="39" t="s">
        <v>104</v>
      </c>
      <c r="D4" s="39" t="s">
        <v>60</v>
      </c>
      <c r="E4" s="39" t="s">
        <v>62</v>
      </c>
      <c r="F4" s="68">
        <v>46444.0</v>
      </c>
      <c r="G4" s="47">
        <f>F4-F60</f>
        <v>156</v>
      </c>
      <c r="H4" s="39" t="s">
        <v>75</v>
      </c>
      <c r="I4" s="41">
        <v>46563.0</v>
      </c>
      <c r="J4" s="54">
        <f>I4-F60</f>
        <v>275</v>
      </c>
      <c r="K4" s="41">
        <v>46327.0</v>
      </c>
      <c r="L4" s="54">
        <f>K4-F60</f>
        <v>39</v>
      </c>
      <c r="M4" s="58">
        <v>46295.0</v>
      </c>
      <c r="N4" s="54">
        <f>M4-F60</f>
        <v>7</v>
      </c>
      <c r="O4" s="68">
        <v>46356.0</v>
      </c>
      <c r="P4" s="54">
        <f>O4-F60</f>
        <v>68</v>
      </c>
      <c r="Q4" s="2" t="s">
        <v>101</v>
      </c>
    </row>
    <row r="5" ht="30.0" customHeight="1">
      <c r="A5" s="63"/>
      <c r="B5" s="65"/>
      <c r="C5" s="39" t="s">
        <v>121</v>
      </c>
      <c r="D5" s="39" t="s">
        <v>60</v>
      </c>
      <c r="E5" s="39" t="s">
        <v>62</v>
      </c>
      <c r="F5" s="68">
        <v>46444.0</v>
      </c>
      <c r="G5" s="47">
        <f>F5-F60</f>
        <v>156</v>
      </c>
      <c r="H5" s="39" t="s">
        <v>75</v>
      </c>
      <c r="I5" s="41">
        <v>46556.0</v>
      </c>
      <c r="J5" s="54">
        <f>I5-F60</f>
        <v>268</v>
      </c>
      <c r="K5" s="41">
        <v>46327.0</v>
      </c>
      <c r="L5" s="54">
        <f>K5-F60</f>
        <v>39</v>
      </c>
      <c r="M5" s="68">
        <v>46203.0</v>
      </c>
      <c r="N5" s="54">
        <f>M5-F60</f>
        <v>-85</v>
      </c>
      <c r="O5" s="68">
        <v>46347.0</v>
      </c>
      <c r="P5" s="54">
        <f>O5-F60</f>
        <v>59</v>
      </c>
      <c r="Q5" s="2" t="s">
        <v>101</v>
      </c>
    </row>
    <row r="6" ht="30.0" customHeight="1">
      <c r="A6" s="87"/>
      <c r="B6" s="65"/>
      <c r="C6" s="39" t="s">
        <v>120</v>
      </c>
      <c r="D6" s="39" t="s">
        <v>60</v>
      </c>
      <c r="E6" s="39" t="s">
        <v>62</v>
      </c>
      <c r="F6" s="68">
        <v>46444.0</v>
      </c>
      <c r="G6" s="47">
        <f>F6-F60</f>
        <v>156</v>
      </c>
      <c r="H6" s="39" t="s">
        <v>75</v>
      </c>
      <c r="I6" s="41">
        <v>46556.0</v>
      </c>
      <c r="J6" s="54">
        <f>I6-F60</f>
        <v>268</v>
      </c>
      <c r="K6" s="61">
        <v>46336.0</v>
      </c>
      <c r="L6" s="54">
        <f>K6-F60</f>
        <v>48</v>
      </c>
      <c r="M6" s="68">
        <v>46295.0</v>
      </c>
      <c r="N6" s="54">
        <f>M6-F60</f>
        <v>7</v>
      </c>
      <c r="O6" s="41">
        <v>46344.0</v>
      </c>
      <c r="P6" s="54">
        <f>O6-F60</f>
        <v>56</v>
      </c>
      <c r="Q6" s="2" t="s">
        <v>101</v>
      </c>
    </row>
    <row r="7" ht="30.0" customHeight="1">
      <c r="A7" s="63"/>
      <c r="B7" s="65">
        <v>1.0</v>
      </c>
      <c r="C7" s="92" t="s">
        <v>136</v>
      </c>
      <c r="D7" s="92" t="s">
        <v>60</v>
      </c>
      <c r="E7" s="92" t="s">
        <v>62</v>
      </c>
      <c r="F7" s="58">
        <v>46444.0</v>
      </c>
      <c r="G7" s="93">
        <f>F7-F60</f>
        <v>156</v>
      </c>
      <c r="H7" s="92" t="s">
        <v>75</v>
      </c>
      <c r="I7" s="95">
        <v>46556.0</v>
      </c>
      <c r="J7" s="98">
        <f>I7-F60</f>
        <v>268</v>
      </c>
      <c r="K7" s="95">
        <v>46193.0</v>
      </c>
      <c r="L7" s="98">
        <f>K7-F60</f>
        <v>-95</v>
      </c>
      <c r="M7" s="58">
        <v>46295.0</v>
      </c>
      <c r="N7" s="98">
        <f>M7-F60</f>
        <v>7</v>
      </c>
      <c r="O7" s="58">
        <v>46356.0</v>
      </c>
      <c r="P7" s="98">
        <f>O7-F60</f>
        <v>68</v>
      </c>
    </row>
    <row r="8" ht="30.0" customHeight="1">
      <c r="A8" s="87"/>
      <c r="B8" s="65">
        <f t="shared" ref="B8:B26" si="1">B7+1</f>
        <v>2</v>
      </c>
      <c r="C8" s="92" t="s">
        <v>143</v>
      </c>
      <c r="D8" s="92" t="s">
        <v>150</v>
      </c>
      <c r="E8" s="92" t="s">
        <v>62</v>
      </c>
      <c r="F8" s="58">
        <v>46352.0</v>
      </c>
      <c r="G8" s="93">
        <f>F8-F60</f>
        <v>64</v>
      </c>
      <c r="H8" s="92" t="s">
        <v>75</v>
      </c>
      <c r="I8" s="108">
        <v>46743.0</v>
      </c>
      <c r="J8" s="98">
        <f>I8-F60</f>
        <v>455</v>
      </c>
      <c r="K8" s="108">
        <v>46336.0</v>
      </c>
      <c r="L8" s="98">
        <f>K8-F60</f>
        <v>48</v>
      </c>
      <c r="M8" s="58">
        <v>46295.0</v>
      </c>
      <c r="N8" s="98">
        <f>M8-F60</f>
        <v>7</v>
      </c>
      <c r="O8" s="95">
        <v>46568.0</v>
      </c>
      <c r="P8" s="98">
        <f>O8-F60</f>
        <v>280</v>
      </c>
    </row>
    <row r="9" ht="30.0" customHeight="1">
      <c r="A9" s="87"/>
      <c r="B9" s="65">
        <f t="shared" si="1"/>
        <v>3</v>
      </c>
      <c r="C9" s="92" t="s">
        <v>155</v>
      </c>
      <c r="D9" s="92" t="s">
        <v>150</v>
      </c>
      <c r="E9" s="92" t="s">
        <v>62</v>
      </c>
      <c r="F9" s="58">
        <v>46352.0</v>
      </c>
      <c r="G9" s="93">
        <f>F9-F60</f>
        <v>64</v>
      </c>
      <c r="H9" s="92" t="s">
        <v>75</v>
      </c>
      <c r="I9" s="108">
        <v>46742.0</v>
      </c>
      <c r="J9" s="98">
        <f>I9-F60</f>
        <v>454</v>
      </c>
      <c r="K9" s="108">
        <v>46346.0</v>
      </c>
      <c r="L9" s="98">
        <f>K9-F60</f>
        <v>58</v>
      </c>
      <c r="M9" s="58">
        <v>46295.0</v>
      </c>
      <c r="N9" s="98">
        <f>M9-F60</f>
        <v>7</v>
      </c>
      <c r="O9" s="95">
        <v>46569.0</v>
      </c>
      <c r="P9" s="98">
        <f>O9-F60</f>
        <v>281</v>
      </c>
    </row>
    <row r="10" ht="30.0" customHeight="1">
      <c r="A10" s="87"/>
      <c r="B10" s="65">
        <f t="shared" si="1"/>
        <v>4</v>
      </c>
      <c r="C10" s="92" t="s">
        <v>159</v>
      </c>
      <c r="D10" s="92" t="s">
        <v>150</v>
      </c>
      <c r="E10" s="92" t="s">
        <v>62</v>
      </c>
      <c r="F10" s="58">
        <v>46352.0</v>
      </c>
      <c r="G10" s="93">
        <f>F10-F60</f>
        <v>64</v>
      </c>
      <c r="H10" s="92" t="s">
        <v>75</v>
      </c>
      <c r="I10" s="108">
        <v>46742.0</v>
      </c>
      <c r="J10" s="98">
        <f>I10-F60</f>
        <v>454</v>
      </c>
      <c r="K10" s="95">
        <v>46357.0</v>
      </c>
      <c r="L10" s="98">
        <f>K10-F60</f>
        <v>69</v>
      </c>
      <c r="M10" s="58">
        <v>46295.0</v>
      </c>
      <c r="N10" s="98">
        <f>M10-F60</f>
        <v>7</v>
      </c>
      <c r="O10" s="95">
        <v>46574.0</v>
      </c>
      <c r="P10" s="98">
        <f>O10-F60</f>
        <v>286</v>
      </c>
    </row>
    <row r="11" ht="30.0" customHeight="1">
      <c r="A11" s="87"/>
      <c r="B11" s="65">
        <f t="shared" si="1"/>
        <v>5</v>
      </c>
      <c r="C11" s="92" t="s">
        <v>160</v>
      </c>
      <c r="D11" s="92" t="s">
        <v>150</v>
      </c>
      <c r="E11" s="92" t="s">
        <v>62</v>
      </c>
      <c r="F11" s="58">
        <v>46352.0</v>
      </c>
      <c r="G11" s="93">
        <f>F11-F60</f>
        <v>64</v>
      </c>
      <c r="H11" s="92" t="s">
        <v>75</v>
      </c>
      <c r="I11" s="108">
        <v>46752.0</v>
      </c>
      <c r="J11" s="98">
        <f>I11-F60</f>
        <v>464</v>
      </c>
      <c r="K11" s="108">
        <v>46346.0</v>
      </c>
      <c r="L11" s="98">
        <f>K11-F60</f>
        <v>58</v>
      </c>
      <c r="M11" s="58">
        <v>46295.0</v>
      </c>
      <c r="N11" s="98">
        <f>M11-F60</f>
        <v>7</v>
      </c>
      <c r="O11" s="95">
        <v>46581.0</v>
      </c>
      <c r="P11" s="98">
        <f>O11-F60</f>
        <v>293</v>
      </c>
    </row>
    <row r="12" ht="30.0" customHeight="1">
      <c r="A12" s="87"/>
      <c r="B12" s="65">
        <f t="shared" si="1"/>
        <v>6</v>
      </c>
      <c r="C12" s="92" t="s">
        <v>93</v>
      </c>
      <c r="D12" s="92" t="s">
        <v>150</v>
      </c>
      <c r="E12" s="92" t="s">
        <v>62</v>
      </c>
      <c r="F12" s="58">
        <v>46352.0</v>
      </c>
      <c r="G12" s="93">
        <f>F12-F60</f>
        <v>64</v>
      </c>
      <c r="H12" s="92" t="s">
        <v>75</v>
      </c>
      <c r="I12" s="108">
        <v>46742.0</v>
      </c>
      <c r="J12" s="98">
        <f>I12-F60</f>
        <v>454</v>
      </c>
      <c r="K12" s="108">
        <v>46351.0</v>
      </c>
      <c r="L12" s="98">
        <f>K12-F60</f>
        <v>63</v>
      </c>
      <c r="M12" s="58">
        <v>46295.0</v>
      </c>
      <c r="N12" s="98">
        <f>M12-F60</f>
        <v>7</v>
      </c>
      <c r="O12" s="95">
        <v>46572.0</v>
      </c>
      <c r="P12" s="98">
        <f>O12-F60</f>
        <v>284</v>
      </c>
    </row>
    <row r="13" ht="30.0" customHeight="1">
      <c r="A13" s="87"/>
      <c r="B13" s="65">
        <f t="shared" si="1"/>
        <v>7</v>
      </c>
      <c r="C13" s="92" t="s">
        <v>147</v>
      </c>
      <c r="D13" s="92" t="s">
        <v>150</v>
      </c>
      <c r="E13" s="92" t="s">
        <v>62</v>
      </c>
      <c r="F13" s="108">
        <v>46367.0</v>
      </c>
      <c r="G13" s="93">
        <f>F13-F60</f>
        <v>79</v>
      </c>
      <c r="H13" s="92" t="s">
        <v>75</v>
      </c>
      <c r="I13" s="108">
        <v>46742.0</v>
      </c>
      <c r="J13" s="98">
        <f>I13-F60</f>
        <v>454</v>
      </c>
      <c r="K13" s="108">
        <v>46346.0</v>
      </c>
      <c r="L13" s="98">
        <f>K13-F60</f>
        <v>58</v>
      </c>
      <c r="M13" s="58">
        <v>46295.0</v>
      </c>
      <c r="N13" s="98">
        <f>M13-F60</f>
        <v>7</v>
      </c>
      <c r="O13" s="95">
        <v>46572.0</v>
      </c>
      <c r="P13" s="98">
        <f>O13-F60</f>
        <v>284</v>
      </c>
    </row>
    <row r="14" ht="30.0" customHeight="1">
      <c r="A14" s="87"/>
      <c r="B14" s="65">
        <f t="shared" si="1"/>
        <v>8</v>
      </c>
      <c r="C14" s="92" t="s">
        <v>132</v>
      </c>
      <c r="D14" s="92" t="s">
        <v>150</v>
      </c>
      <c r="E14" s="92" t="s">
        <v>62</v>
      </c>
      <c r="F14" s="58">
        <v>46429.0</v>
      </c>
      <c r="G14" s="93">
        <f>F14-F60</f>
        <v>141</v>
      </c>
      <c r="H14" s="92" t="s">
        <v>75</v>
      </c>
      <c r="I14" s="95">
        <v>46951.0</v>
      </c>
      <c r="J14" s="98">
        <f>I14-F60</f>
        <v>663</v>
      </c>
      <c r="K14" s="95">
        <v>46635.0</v>
      </c>
      <c r="L14" s="98">
        <f>K14-F60</f>
        <v>347</v>
      </c>
      <c r="M14" s="58">
        <v>46295.0</v>
      </c>
      <c r="N14" s="98">
        <f>M14-F60</f>
        <v>7</v>
      </c>
      <c r="O14" s="95">
        <v>46573.0</v>
      </c>
      <c r="P14" s="98">
        <f>O14-F60</f>
        <v>285</v>
      </c>
    </row>
    <row r="15" ht="30.0" customHeight="1">
      <c r="A15" s="87"/>
      <c r="B15" s="65">
        <f t="shared" si="1"/>
        <v>9</v>
      </c>
      <c r="C15" s="92" t="s">
        <v>208</v>
      </c>
      <c r="D15" s="92" t="s">
        <v>150</v>
      </c>
      <c r="E15" s="92" t="s">
        <v>62</v>
      </c>
      <c r="F15" s="95">
        <v>46419.0</v>
      </c>
      <c r="G15" s="93">
        <f>F15-F60</f>
        <v>131</v>
      </c>
      <c r="H15" s="92" t="s">
        <v>75</v>
      </c>
      <c r="I15" s="95">
        <v>46800.0</v>
      </c>
      <c r="J15" s="98">
        <f>I15-F60</f>
        <v>512</v>
      </c>
      <c r="K15" s="95">
        <v>46641.0</v>
      </c>
      <c r="L15" s="98">
        <f>K15-F60</f>
        <v>353</v>
      </c>
      <c r="M15" s="58">
        <v>46295.0</v>
      </c>
      <c r="N15" s="98">
        <f>M15-F60</f>
        <v>7</v>
      </c>
      <c r="O15" s="95">
        <v>46572.0</v>
      </c>
      <c r="P15" s="98">
        <f>O15-F60</f>
        <v>284</v>
      </c>
    </row>
    <row r="16" ht="30.0" customHeight="1">
      <c r="A16" s="87"/>
      <c r="B16" s="65">
        <f t="shared" si="1"/>
        <v>10</v>
      </c>
      <c r="C16" s="92" t="s">
        <v>168</v>
      </c>
      <c r="D16" s="92" t="s">
        <v>214</v>
      </c>
      <c r="E16" s="92" t="s">
        <v>62</v>
      </c>
      <c r="F16" s="95">
        <v>46560.0</v>
      </c>
      <c r="G16" s="93">
        <f>F16-F60</f>
        <v>272</v>
      </c>
      <c r="H16" s="92" t="s">
        <v>75</v>
      </c>
      <c r="I16" s="95">
        <v>46982.0</v>
      </c>
      <c r="J16" s="98">
        <f>I16-F60</f>
        <v>694</v>
      </c>
      <c r="K16" s="95">
        <v>46594.0</v>
      </c>
      <c r="L16" s="98">
        <f>K16-F60</f>
        <v>306</v>
      </c>
      <c r="M16" s="58">
        <v>46295.0</v>
      </c>
      <c r="N16" s="98">
        <f>M16-F60</f>
        <v>7</v>
      </c>
      <c r="O16" s="95">
        <v>46609.0</v>
      </c>
      <c r="P16" s="98">
        <f>O16-F60</f>
        <v>321</v>
      </c>
    </row>
    <row r="17" ht="30.0" customHeight="1">
      <c r="A17" s="87"/>
      <c r="B17" s="65">
        <f t="shared" si="1"/>
        <v>11</v>
      </c>
      <c r="C17" s="92" t="s">
        <v>181</v>
      </c>
      <c r="D17" s="92" t="s">
        <v>214</v>
      </c>
      <c r="E17" s="92" t="s">
        <v>62</v>
      </c>
      <c r="F17" s="95">
        <v>46275.0</v>
      </c>
      <c r="G17" s="93">
        <f>F17-F60</f>
        <v>-13</v>
      </c>
      <c r="H17" s="92" t="s">
        <v>75</v>
      </c>
      <c r="I17" s="95">
        <v>47423.0</v>
      </c>
      <c r="J17" s="98">
        <f>I17-F60</f>
        <v>1135</v>
      </c>
      <c r="K17" s="95">
        <v>46327.0</v>
      </c>
      <c r="L17" s="98">
        <f>K17-F60</f>
        <v>39</v>
      </c>
      <c r="M17" s="58">
        <v>46295.0</v>
      </c>
      <c r="N17" s="98">
        <f>M17-F60</f>
        <v>7</v>
      </c>
      <c r="O17" s="95">
        <v>46320.0</v>
      </c>
      <c r="P17" s="98">
        <f>O17-F60</f>
        <v>32</v>
      </c>
    </row>
    <row r="18" ht="30.0" customHeight="1">
      <c r="A18" s="87"/>
      <c r="B18" s="65">
        <f t="shared" si="1"/>
        <v>12</v>
      </c>
      <c r="C18" s="92" t="s">
        <v>187</v>
      </c>
      <c r="D18" s="92" t="s">
        <v>214</v>
      </c>
      <c r="E18" s="92" t="s">
        <v>62</v>
      </c>
      <c r="F18" s="95">
        <v>46275.0</v>
      </c>
      <c r="G18" s="93">
        <f>F18-F60</f>
        <v>-13</v>
      </c>
      <c r="H18" s="92" t="s">
        <v>75</v>
      </c>
      <c r="I18" s="95">
        <v>47423.0</v>
      </c>
      <c r="J18" s="98">
        <f>I18-F60</f>
        <v>1135</v>
      </c>
      <c r="K18" s="95">
        <v>46327.0</v>
      </c>
      <c r="L18" s="98">
        <f>K18-F60</f>
        <v>39</v>
      </c>
      <c r="M18" s="58">
        <v>46295.0</v>
      </c>
      <c r="N18" s="98">
        <f>M18-F60</f>
        <v>7</v>
      </c>
      <c r="O18" s="95">
        <v>46321.0</v>
      </c>
      <c r="P18" s="98">
        <f>O18-F60</f>
        <v>33</v>
      </c>
    </row>
    <row r="19" ht="30.0" customHeight="1">
      <c r="A19" s="87"/>
      <c r="B19" s="65">
        <f t="shared" si="1"/>
        <v>13</v>
      </c>
      <c r="C19" s="170" t="s">
        <v>242</v>
      </c>
      <c r="D19" s="92" t="s">
        <v>214</v>
      </c>
      <c r="E19" s="92" t="s">
        <v>62</v>
      </c>
      <c r="F19" s="95">
        <v>46456.0</v>
      </c>
      <c r="G19" s="171">
        <f>F19-F60</f>
        <v>168</v>
      </c>
      <c r="H19" s="92" t="s">
        <v>75</v>
      </c>
      <c r="I19" s="95">
        <v>47932.0</v>
      </c>
      <c r="J19" s="171">
        <f>I19-F60</f>
        <v>1644</v>
      </c>
      <c r="K19" s="95">
        <v>46844.0</v>
      </c>
      <c r="L19" s="171">
        <f>K19-F60</f>
        <v>556</v>
      </c>
      <c r="M19" s="95">
        <v>46477.0</v>
      </c>
      <c r="N19" s="171">
        <f>M19-F60</f>
        <v>189</v>
      </c>
      <c r="O19" s="95">
        <v>46481.0</v>
      </c>
      <c r="P19" s="171">
        <f>O19-F60</f>
        <v>193</v>
      </c>
    </row>
    <row r="20" ht="30.0" customHeight="1">
      <c r="A20" s="87"/>
      <c r="B20" s="65">
        <f t="shared" si="1"/>
        <v>14</v>
      </c>
      <c r="C20" s="92" t="s">
        <v>249</v>
      </c>
      <c r="D20" s="92" t="s">
        <v>214</v>
      </c>
      <c r="E20" s="92" t="s">
        <v>62</v>
      </c>
      <c r="F20" s="95">
        <v>46456.0</v>
      </c>
      <c r="G20" s="171">
        <f>F20-F60</f>
        <v>168</v>
      </c>
      <c r="H20" s="92" t="s">
        <v>75</v>
      </c>
      <c r="I20" s="95">
        <v>47932.0</v>
      </c>
      <c r="J20" s="171">
        <f>I20-F60</f>
        <v>1644</v>
      </c>
      <c r="K20" s="95">
        <v>46834.0</v>
      </c>
      <c r="L20" s="171">
        <f>K20-F60</f>
        <v>546</v>
      </c>
      <c r="M20" s="95">
        <v>46477.0</v>
      </c>
      <c r="N20" s="171">
        <f>M20-F60</f>
        <v>189</v>
      </c>
      <c r="O20" s="95">
        <v>46471.0</v>
      </c>
      <c r="P20" s="171">
        <f>O20-F60</f>
        <v>183</v>
      </c>
    </row>
    <row r="21" ht="30.0" customHeight="1">
      <c r="A21" s="87"/>
      <c r="B21" s="65">
        <f t="shared" si="1"/>
        <v>15</v>
      </c>
      <c r="C21" s="92" t="s">
        <v>251</v>
      </c>
      <c r="D21" s="92" t="s">
        <v>214</v>
      </c>
      <c r="E21" s="92" t="s">
        <v>62</v>
      </c>
      <c r="F21" s="174">
        <v>46563.0</v>
      </c>
      <c r="G21" s="171">
        <f>F21-F60</f>
        <v>275</v>
      </c>
      <c r="H21" s="92" t="s">
        <v>75</v>
      </c>
      <c r="I21" s="95">
        <v>48030.0</v>
      </c>
      <c r="J21" s="171">
        <f>I21-F60</f>
        <v>1742</v>
      </c>
      <c r="K21" s="95">
        <v>46837.0</v>
      </c>
      <c r="L21" s="171">
        <f>K21-F60</f>
        <v>549</v>
      </c>
      <c r="M21" s="95">
        <v>46295.0</v>
      </c>
      <c r="N21" s="171">
        <f>M21-F60</f>
        <v>7</v>
      </c>
      <c r="O21" s="95">
        <v>46572.0</v>
      </c>
      <c r="P21" s="171">
        <f>O21-F60</f>
        <v>284</v>
      </c>
    </row>
    <row r="22" ht="28.5" customHeight="1">
      <c r="A22" s="87"/>
      <c r="B22" s="65">
        <f t="shared" si="1"/>
        <v>16</v>
      </c>
      <c r="C22" s="92" t="s">
        <v>254</v>
      </c>
      <c r="D22" s="92" t="s">
        <v>214</v>
      </c>
      <c r="E22" s="92" t="s">
        <v>62</v>
      </c>
      <c r="F22" s="174">
        <v>46563.0</v>
      </c>
      <c r="G22" s="171">
        <f>F22-F60</f>
        <v>275</v>
      </c>
      <c r="H22" s="92" t="s">
        <v>75</v>
      </c>
      <c r="I22" s="95">
        <v>48030.0</v>
      </c>
      <c r="J22" s="171">
        <f>I22-F60</f>
        <v>1742</v>
      </c>
      <c r="K22" s="95">
        <v>46837.0</v>
      </c>
      <c r="L22" s="171">
        <f>K22-F60</f>
        <v>549</v>
      </c>
      <c r="M22" s="95">
        <v>46295.0</v>
      </c>
      <c r="N22" s="171">
        <f>M22-F60</f>
        <v>7</v>
      </c>
      <c r="O22" s="95">
        <v>46572.0</v>
      </c>
      <c r="P22" s="171">
        <f>O22-F60</f>
        <v>284</v>
      </c>
    </row>
    <row r="23" ht="28.5" customHeight="1">
      <c r="A23" s="87"/>
      <c r="B23" s="65">
        <f t="shared" si="1"/>
        <v>17</v>
      </c>
      <c r="C23" s="92" t="s">
        <v>256</v>
      </c>
      <c r="D23" s="92" t="s">
        <v>214</v>
      </c>
      <c r="E23" s="92" t="s">
        <v>62</v>
      </c>
      <c r="F23" s="174">
        <v>46563.0</v>
      </c>
      <c r="G23" s="171">
        <f>F23-F60</f>
        <v>275</v>
      </c>
      <c r="H23" s="92" t="s">
        <v>75</v>
      </c>
      <c r="I23" s="95">
        <v>48030.0</v>
      </c>
      <c r="J23" s="171">
        <f>I23-F60</f>
        <v>1742</v>
      </c>
      <c r="K23" s="95">
        <v>46837.0</v>
      </c>
      <c r="L23" s="171">
        <f>K23-F60</f>
        <v>549</v>
      </c>
      <c r="M23" s="95">
        <v>46295.0</v>
      </c>
      <c r="N23" s="171">
        <f>M23-F60</f>
        <v>7</v>
      </c>
      <c r="O23" s="95">
        <v>46572.0</v>
      </c>
      <c r="P23" s="171">
        <f>O23-F60</f>
        <v>284</v>
      </c>
    </row>
    <row r="24" ht="28.5" customHeight="1">
      <c r="A24" s="87"/>
      <c r="B24" s="65">
        <f t="shared" si="1"/>
        <v>18</v>
      </c>
      <c r="C24" s="92" t="s">
        <v>258</v>
      </c>
      <c r="D24" s="92" t="s">
        <v>214</v>
      </c>
      <c r="E24" s="92" t="s">
        <v>62</v>
      </c>
      <c r="F24" s="174">
        <v>46563.0</v>
      </c>
      <c r="G24" s="171">
        <f>F24-F60</f>
        <v>275</v>
      </c>
      <c r="H24" s="92" t="s">
        <v>75</v>
      </c>
      <c r="I24" s="95">
        <v>48030.0</v>
      </c>
      <c r="J24" s="171">
        <f>I24-F60</f>
        <v>1742</v>
      </c>
      <c r="K24" s="95">
        <v>46837.0</v>
      </c>
      <c r="L24" s="171">
        <f>K24-F60</f>
        <v>549</v>
      </c>
      <c r="M24" s="95">
        <v>46295.0</v>
      </c>
      <c r="N24" s="171">
        <f>M24-F60</f>
        <v>7</v>
      </c>
      <c r="O24" s="95">
        <v>46572.0</v>
      </c>
      <c r="P24" s="171">
        <f>O24-F60</f>
        <v>284</v>
      </c>
    </row>
    <row r="25" ht="28.5" customHeight="1">
      <c r="A25" s="87"/>
      <c r="B25" s="65">
        <f t="shared" si="1"/>
        <v>19</v>
      </c>
      <c r="C25" s="92" t="s">
        <v>261</v>
      </c>
      <c r="D25" s="92" t="s">
        <v>214</v>
      </c>
      <c r="E25" s="92" t="s">
        <v>62</v>
      </c>
      <c r="F25" s="174">
        <v>46578.0</v>
      </c>
      <c r="G25" s="171">
        <f>F25-F60</f>
        <v>290</v>
      </c>
      <c r="H25" s="92" t="s">
        <v>262</v>
      </c>
      <c r="I25" s="95">
        <v>48048.0</v>
      </c>
      <c r="J25" s="171">
        <f>I25-F60</f>
        <v>1760</v>
      </c>
      <c r="K25" s="95">
        <v>46927.0</v>
      </c>
      <c r="L25" s="171">
        <f>K25-F60</f>
        <v>639</v>
      </c>
      <c r="M25" s="95">
        <v>46295.0</v>
      </c>
      <c r="N25" s="171">
        <f>M25-F60</f>
        <v>7</v>
      </c>
      <c r="O25" s="95">
        <v>46586.0</v>
      </c>
      <c r="P25" s="171">
        <f>O25-F60</f>
        <v>298</v>
      </c>
    </row>
    <row r="26" ht="28.5" customHeight="1">
      <c r="A26" s="87"/>
      <c r="B26" s="65">
        <f t="shared" si="1"/>
        <v>20</v>
      </c>
      <c r="C26" s="92" t="s">
        <v>268</v>
      </c>
      <c r="D26" s="92" t="s">
        <v>214</v>
      </c>
      <c r="E26" s="92" t="s">
        <v>62</v>
      </c>
      <c r="F26" s="174">
        <v>46578.0</v>
      </c>
      <c r="G26" s="171">
        <f>F26-F60</f>
        <v>290</v>
      </c>
      <c r="H26" s="92" t="s">
        <v>262</v>
      </c>
      <c r="I26" s="95">
        <v>48048.0</v>
      </c>
      <c r="J26" s="171">
        <f>I26-F60</f>
        <v>1760</v>
      </c>
      <c r="K26" s="95">
        <v>46927.0</v>
      </c>
      <c r="L26" s="171">
        <f>K26-F60</f>
        <v>639</v>
      </c>
      <c r="M26" s="95">
        <v>46295.0</v>
      </c>
      <c r="N26" s="171">
        <f>M26-F60</f>
        <v>7</v>
      </c>
      <c r="O26" s="95">
        <v>46586.0</v>
      </c>
      <c r="P26" s="171">
        <f>O26-F60</f>
        <v>298</v>
      </c>
    </row>
    <row r="27" ht="28.5" customHeight="1">
      <c r="A27" s="87"/>
      <c r="B27" s="92"/>
      <c r="C27" s="92"/>
      <c r="D27" s="92"/>
      <c r="E27" s="92"/>
      <c r="F27" s="174"/>
      <c r="G27" s="171"/>
      <c r="H27" s="92"/>
      <c r="I27" s="95"/>
      <c r="J27" s="171"/>
      <c r="K27" s="95"/>
      <c r="L27" s="171"/>
      <c r="M27" s="95"/>
      <c r="N27" s="171"/>
      <c r="O27" s="95"/>
      <c r="P27" s="171"/>
    </row>
    <row r="28" ht="28.5" customHeight="1">
      <c r="A28" s="207"/>
      <c r="B28" s="207"/>
      <c r="C28" s="207"/>
      <c r="D28" s="207"/>
      <c r="E28" s="207"/>
      <c r="F28" s="207"/>
      <c r="G28" s="207"/>
      <c r="H28" s="207"/>
      <c r="I28" s="208"/>
      <c r="J28" s="208"/>
      <c r="K28" s="207"/>
      <c r="L28" s="207"/>
      <c r="M28" s="207"/>
      <c r="N28" s="207"/>
      <c r="O28" s="207"/>
      <c r="P28" s="207"/>
    </row>
    <row r="29" ht="28.5" customHeight="1"/>
    <row r="30" ht="28.5" customHeight="1"/>
    <row r="31" ht="28.5" customHeight="1"/>
    <row r="32" ht="28.5" customHeight="1">
      <c r="B32" s="209" t="s">
        <v>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9"/>
    </row>
    <row r="33" ht="28.5" customHeight="1">
      <c r="A33" s="33"/>
      <c r="B33" s="23" t="s">
        <v>8</v>
      </c>
      <c r="C33" s="26" t="s">
        <v>29</v>
      </c>
      <c r="D33" s="26" t="s">
        <v>33</v>
      </c>
      <c r="E33" s="26" t="s">
        <v>34</v>
      </c>
      <c r="F33" s="26" t="s">
        <v>35</v>
      </c>
      <c r="G33" s="26"/>
      <c r="H33" s="31" t="s">
        <v>37</v>
      </c>
      <c r="I33" s="9"/>
      <c r="J33" s="26"/>
      <c r="K33" s="26" t="s">
        <v>41</v>
      </c>
      <c r="L33" s="26"/>
      <c r="M33" s="26" t="s">
        <v>43</v>
      </c>
      <c r="N33" s="26"/>
      <c r="O33" s="26" t="s">
        <v>44</v>
      </c>
      <c r="P33" s="26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ht="28.5" customHeight="1">
      <c r="B34" s="38"/>
      <c r="C34" s="39" t="s">
        <v>57</v>
      </c>
      <c r="D34" s="39" t="s">
        <v>60</v>
      </c>
      <c r="E34" s="39" t="s">
        <v>62</v>
      </c>
      <c r="F34" s="41">
        <v>46557.0</v>
      </c>
      <c r="G34" s="54">
        <f>F34-F60</f>
        <v>269</v>
      </c>
      <c r="H34" s="39" t="s">
        <v>75</v>
      </c>
      <c r="I34" s="41">
        <v>46561.0</v>
      </c>
      <c r="J34" s="54">
        <f>I34-F60</f>
        <v>273</v>
      </c>
      <c r="K34" s="41">
        <v>46263.0</v>
      </c>
      <c r="L34" s="54">
        <f>K34-F60</f>
        <v>-25</v>
      </c>
      <c r="M34" s="68">
        <v>46203.0</v>
      </c>
      <c r="N34" s="54">
        <f>M34-F60</f>
        <v>-85</v>
      </c>
      <c r="O34" s="61">
        <v>46338.0</v>
      </c>
      <c r="P34" s="54">
        <f>O34-F60</f>
        <v>50</v>
      </c>
      <c r="Q34" s="2" t="s">
        <v>101</v>
      </c>
      <c r="R34" s="33"/>
      <c r="S34" s="33"/>
    </row>
    <row r="35" ht="28.5" customHeight="1">
      <c r="B35" s="65"/>
      <c r="C35" s="39" t="s">
        <v>104</v>
      </c>
      <c r="D35" s="39" t="s">
        <v>60</v>
      </c>
      <c r="E35" s="39" t="s">
        <v>62</v>
      </c>
      <c r="F35" s="68">
        <v>46447.0</v>
      </c>
      <c r="G35" s="54">
        <f>F35-F60</f>
        <v>159</v>
      </c>
      <c r="H35" s="39" t="s">
        <v>75</v>
      </c>
      <c r="I35" s="41">
        <v>46572.0</v>
      </c>
      <c r="J35" s="54">
        <f>I35-F60</f>
        <v>284</v>
      </c>
      <c r="K35" s="41">
        <v>46336.0</v>
      </c>
      <c r="L35" s="54">
        <f>K35-F60</f>
        <v>48</v>
      </c>
      <c r="M35" s="68">
        <v>46203.0</v>
      </c>
      <c r="N35" s="54">
        <f>M35-F60</f>
        <v>-85</v>
      </c>
      <c r="O35" s="41">
        <v>46358.0</v>
      </c>
      <c r="P35" s="54">
        <f>O35-F60</f>
        <v>70</v>
      </c>
      <c r="Q35" s="2" t="s">
        <v>101</v>
      </c>
      <c r="R35" s="33"/>
      <c r="S35" s="33"/>
    </row>
    <row r="36" ht="28.5" customHeight="1">
      <c r="B36" s="65"/>
      <c r="C36" s="39" t="s">
        <v>121</v>
      </c>
      <c r="D36" s="39" t="s">
        <v>60</v>
      </c>
      <c r="E36" s="39" t="s">
        <v>62</v>
      </c>
      <c r="F36" s="68">
        <v>46447.0</v>
      </c>
      <c r="G36" s="54">
        <f>F36-F60</f>
        <v>159</v>
      </c>
      <c r="H36" s="39" t="s">
        <v>75</v>
      </c>
      <c r="I36" s="41">
        <v>46561.0</v>
      </c>
      <c r="J36" s="54">
        <f>I36-F60</f>
        <v>273</v>
      </c>
      <c r="K36" s="41">
        <v>46336.0</v>
      </c>
      <c r="L36" s="54">
        <f>K36-F60</f>
        <v>48</v>
      </c>
      <c r="M36" s="68">
        <v>46203.0</v>
      </c>
      <c r="N36" s="54">
        <f>M36-F60</f>
        <v>-85</v>
      </c>
      <c r="O36" s="41">
        <v>46352.0</v>
      </c>
      <c r="P36" s="54">
        <f>O36-F60</f>
        <v>64</v>
      </c>
      <c r="Q36" s="2" t="s">
        <v>101</v>
      </c>
      <c r="R36" s="33"/>
      <c r="S36" s="33"/>
      <c r="T36" s="33"/>
    </row>
    <row r="37" ht="28.5" customHeight="1">
      <c r="B37" s="65"/>
      <c r="C37" s="39" t="s">
        <v>120</v>
      </c>
      <c r="D37" s="39" t="s">
        <v>60</v>
      </c>
      <c r="E37" s="39" t="s">
        <v>62</v>
      </c>
      <c r="F37" s="68">
        <v>46447.0</v>
      </c>
      <c r="G37" s="54">
        <f>F37-F60</f>
        <v>159</v>
      </c>
      <c r="H37" s="39" t="s">
        <v>75</v>
      </c>
      <c r="I37" s="41">
        <v>46561.0</v>
      </c>
      <c r="J37" s="54">
        <f>I37-F60</f>
        <v>273</v>
      </c>
      <c r="K37" s="61">
        <v>46351.0</v>
      </c>
      <c r="L37" s="54">
        <f>K37-F60</f>
        <v>63</v>
      </c>
      <c r="M37" s="68">
        <v>46295.0</v>
      </c>
      <c r="N37" s="54">
        <f>M37-F60</f>
        <v>7</v>
      </c>
      <c r="O37" s="41">
        <v>46349.0</v>
      </c>
      <c r="P37" s="54">
        <f>O37-F60</f>
        <v>61</v>
      </c>
      <c r="Q37" s="2" t="s">
        <v>101</v>
      </c>
      <c r="R37" s="33"/>
      <c r="S37" s="33"/>
      <c r="T37" s="33"/>
    </row>
    <row r="38" ht="28.5" customHeight="1">
      <c r="B38" s="65">
        <v>1.0</v>
      </c>
      <c r="C38" s="92" t="s">
        <v>136</v>
      </c>
      <c r="D38" s="92" t="s">
        <v>60</v>
      </c>
      <c r="E38" s="92" t="s">
        <v>62</v>
      </c>
      <c r="F38" s="58">
        <v>46447.0</v>
      </c>
      <c r="G38" s="98">
        <f>F38-F60</f>
        <v>159</v>
      </c>
      <c r="H38" s="92" t="s">
        <v>75</v>
      </c>
      <c r="I38" s="95">
        <v>46561.0</v>
      </c>
      <c r="J38" s="98">
        <f>I38-F60</f>
        <v>273</v>
      </c>
      <c r="K38" s="95">
        <v>46200.0</v>
      </c>
      <c r="L38" s="98">
        <f>K38-F60</f>
        <v>-88</v>
      </c>
      <c r="M38" s="58">
        <v>46295.0</v>
      </c>
      <c r="N38" s="98">
        <f>M38-F60</f>
        <v>7</v>
      </c>
      <c r="O38" s="95">
        <v>46358.0</v>
      </c>
      <c r="P38" s="98">
        <f>O38-F60</f>
        <v>70</v>
      </c>
      <c r="Q38" s="33"/>
      <c r="R38" s="33"/>
      <c r="S38" s="33"/>
      <c r="T38" s="33"/>
    </row>
    <row r="39" ht="28.5" customHeight="1">
      <c r="B39" s="65">
        <v>2.0</v>
      </c>
      <c r="C39" s="92" t="s">
        <v>143</v>
      </c>
      <c r="D39" s="92" t="s">
        <v>150</v>
      </c>
      <c r="E39" s="92" t="s">
        <v>62</v>
      </c>
      <c r="F39" s="95">
        <v>46364.0</v>
      </c>
      <c r="G39" s="98">
        <f>F39-F60</f>
        <v>76</v>
      </c>
      <c r="H39" s="92" t="s">
        <v>75</v>
      </c>
      <c r="I39" s="108">
        <v>46749.0</v>
      </c>
      <c r="J39" s="98">
        <f>I39-F60</f>
        <v>461</v>
      </c>
      <c r="K39" s="108">
        <v>46345.0</v>
      </c>
      <c r="L39" s="98">
        <f>K39-F60</f>
        <v>57</v>
      </c>
      <c r="M39" s="58">
        <v>46295.0</v>
      </c>
      <c r="N39" s="98">
        <f>M39-F60</f>
        <v>7</v>
      </c>
      <c r="O39" s="95">
        <v>46575.0</v>
      </c>
      <c r="P39" s="98">
        <f>O39-F60</f>
        <v>287</v>
      </c>
      <c r="Q39" s="33"/>
      <c r="R39" s="235"/>
      <c r="S39" s="236"/>
      <c r="T39" s="33"/>
    </row>
    <row r="40" ht="28.5" customHeight="1">
      <c r="B40" s="65">
        <f t="shared" ref="B40:B57" si="2">B39+1</f>
        <v>3</v>
      </c>
      <c r="C40" s="92" t="s">
        <v>155</v>
      </c>
      <c r="D40" s="92" t="s">
        <v>150</v>
      </c>
      <c r="E40" s="92" t="s">
        <v>62</v>
      </c>
      <c r="F40" s="95">
        <v>46364.0</v>
      </c>
      <c r="G40" s="98">
        <f>F40-F60</f>
        <v>76</v>
      </c>
      <c r="H40" s="92" t="s">
        <v>75</v>
      </c>
      <c r="I40" s="108">
        <v>46747.0</v>
      </c>
      <c r="J40" s="98">
        <f>I40-F60</f>
        <v>459</v>
      </c>
      <c r="K40" s="95">
        <v>46358.0</v>
      </c>
      <c r="L40" s="98">
        <f>K40-F60</f>
        <v>70</v>
      </c>
      <c r="M40" s="58">
        <v>46295.0</v>
      </c>
      <c r="N40" s="98">
        <f>M40-F60</f>
        <v>7</v>
      </c>
      <c r="O40" s="95">
        <v>46573.0</v>
      </c>
      <c r="P40" s="98">
        <f>O40-F60</f>
        <v>285</v>
      </c>
      <c r="Q40" s="33"/>
      <c r="R40" s="235"/>
      <c r="S40" s="236"/>
      <c r="T40" s="33"/>
    </row>
    <row r="41" ht="28.5" customHeight="1">
      <c r="B41" s="65">
        <f t="shared" si="2"/>
        <v>4</v>
      </c>
      <c r="C41" s="92" t="s">
        <v>159</v>
      </c>
      <c r="D41" s="92" t="s">
        <v>150</v>
      </c>
      <c r="E41" s="92" t="s">
        <v>62</v>
      </c>
      <c r="F41" s="95">
        <v>46364.0</v>
      </c>
      <c r="G41" s="98">
        <f>F41-F60</f>
        <v>76</v>
      </c>
      <c r="H41" s="92" t="s">
        <v>75</v>
      </c>
      <c r="I41" s="95">
        <v>46727.0</v>
      </c>
      <c r="J41" s="98">
        <f>I41-F60</f>
        <v>439</v>
      </c>
      <c r="K41" s="95">
        <v>46366.0</v>
      </c>
      <c r="L41" s="98">
        <f>K41-F60</f>
        <v>78</v>
      </c>
      <c r="M41" s="58">
        <v>46295.0</v>
      </c>
      <c r="N41" s="98">
        <f>M41-F60</f>
        <v>7</v>
      </c>
      <c r="O41" s="95">
        <v>46576.0</v>
      </c>
      <c r="P41" s="98">
        <f>O41-F60</f>
        <v>288</v>
      </c>
      <c r="Q41" s="33"/>
      <c r="R41" s="235"/>
      <c r="S41" s="236"/>
      <c r="T41" s="33"/>
    </row>
    <row r="42" ht="28.5" customHeight="1">
      <c r="B42" s="65">
        <f t="shared" si="2"/>
        <v>5</v>
      </c>
      <c r="C42" s="92" t="s">
        <v>160</v>
      </c>
      <c r="D42" s="92" t="s">
        <v>150</v>
      </c>
      <c r="E42" s="92" t="s">
        <v>62</v>
      </c>
      <c r="F42" s="95">
        <v>46364.0</v>
      </c>
      <c r="G42" s="98">
        <f>F42-F60</f>
        <v>76</v>
      </c>
      <c r="H42" s="92" t="s">
        <v>75</v>
      </c>
      <c r="I42" s="95">
        <v>46909.0</v>
      </c>
      <c r="J42" s="98">
        <f>I42-F60</f>
        <v>621</v>
      </c>
      <c r="K42" s="108">
        <v>46351.0</v>
      </c>
      <c r="L42" s="98">
        <f>K42-F60</f>
        <v>63</v>
      </c>
      <c r="M42" s="58">
        <v>46295.0</v>
      </c>
      <c r="N42" s="98">
        <f>M42-F60</f>
        <v>7</v>
      </c>
      <c r="O42" s="95">
        <v>46575.0</v>
      </c>
      <c r="P42" s="98">
        <f>O42-F60</f>
        <v>287</v>
      </c>
      <c r="Q42" s="33"/>
      <c r="R42" s="235"/>
      <c r="S42" s="236"/>
      <c r="T42" s="33"/>
    </row>
    <row r="43" ht="28.5" customHeight="1">
      <c r="B43" s="65">
        <f t="shared" si="2"/>
        <v>6</v>
      </c>
      <c r="C43" s="92" t="s">
        <v>93</v>
      </c>
      <c r="D43" s="92" t="s">
        <v>150</v>
      </c>
      <c r="E43" s="92" t="s">
        <v>62</v>
      </c>
      <c r="F43" s="95">
        <v>46364.0</v>
      </c>
      <c r="G43" s="98">
        <f>F43-F60</f>
        <v>76</v>
      </c>
      <c r="H43" s="92" t="s">
        <v>75</v>
      </c>
      <c r="I43" s="108">
        <v>46747.0</v>
      </c>
      <c r="J43" s="98">
        <f>I43-F60</f>
        <v>459</v>
      </c>
      <c r="K43" s="95">
        <v>46361.0</v>
      </c>
      <c r="L43" s="98">
        <f>K43-F60</f>
        <v>73</v>
      </c>
      <c r="M43" s="58">
        <v>46295.0</v>
      </c>
      <c r="N43" s="98">
        <f>M43-F60</f>
        <v>7</v>
      </c>
      <c r="O43" s="95">
        <v>46574.0</v>
      </c>
      <c r="P43" s="98">
        <f>O43-F60</f>
        <v>286</v>
      </c>
      <c r="Q43" s="33"/>
      <c r="R43" s="235"/>
      <c r="S43" s="236"/>
      <c r="T43" s="33"/>
    </row>
    <row r="44" ht="28.5" customHeight="1">
      <c r="B44" s="65">
        <f t="shared" si="2"/>
        <v>7</v>
      </c>
      <c r="C44" s="92" t="s">
        <v>147</v>
      </c>
      <c r="D44" s="92" t="s">
        <v>150</v>
      </c>
      <c r="E44" s="92" t="s">
        <v>62</v>
      </c>
      <c r="F44" s="108">
        <v>46377.0</v>
      </c>
      <c r="G44" s="98">
        <f>F44-F60</f>
        <v>89</v>
      </c>
      <c r="H44" s="92" t="s">
        <v>75</v>
      </c>
      <c r="I44" s="108">
        <v>46747.0</v>
      </c>
      <c r="J44" s="98">
        <f>I44-F60</f>
        <v>459</v>
      </c>
      <c r="K44" s="95">
        <v>46357.0</v>
      </c>
      <c r="L44" s="98">
        <f>K44-F60</f>
        <v>69</v>
      </c>
      <c r="M44" s="58">
        <v>46295.0</v>
      </c>
      <c r="N44" s="98">
        <f>M44-F60</f>
        <v>7</v>
      </c>
      <c r="O44" s="95">
        <v>46573.0</v>
      </c>
      <c r="P44" s="98">
        <f>O44-F60</f>
        <v>285</v>
      </c>
      <c r="Q44" s="33"/>
      <c r="R44" s="235"/>
      <c r="S44" s="236"/>
      <c r="T44" s="33"/>
    </row>
    <row r="45" ht="28.5" customHeight="1">
      <c r="B45" s="65">
        <f t="shared" si="2"/>
        <v>8</v>
      </c>
      <c r="C45" s="92" t="s">
        <v>132</v>
      </c>
      <c r="D45" s="92" t="s">
        <v>150</v>
      </c>
      <c r="E45" s="92" t="s">
        <v>62</v>
      </c>
      <c r="F45" s="58">
        <v>46439.0</v>
      </c>
      <c r="G45" s="98">
        <f>F45-F60</f>
        <v>151</v>
      </c>
      <c r="H45" s="92" t="s">
        <v>75</v>
      </c>
      <c r="I45" s="95">
        <v>46805.0</v>
      </c>
      <c r="J45" s="98">
        <f>I45-F60</f>
        <v>517</v>
      </c>
      <c r="K45" s="95">
        <v>46640.0</v>
      </c>
      <c r="L45" s="98">
        <f>K45-F60</f>
        <v>352</v>
      </c>
      <c r="M45" s="58">
        <v>46295.0</v>
      </c>
      <c r="N45" s="98">
        <f>M45-F60</f>
        <v>7</v>
      </c>
      <c r="O45" s="95">
        <v>46582.0</v>
      </c>
      <c r="P45" s="98">
        <f>O45-F60</f>
        <v>294</v>
      </c>
      <c r="Q45" s="33"/>
      <c r="R45" s="249"/>
      <c r="S45" s="236"/>
      <c r="T45" s="33"/>
    </row>
    <row r="46" ht="28.5" customHeight="1">
      <c r="B46" s="65">
        <f t="shared" si="2"/>
        <v>9</v>
      </c>
      <c r="C46" s="92" t="s">
        <v>208</v>
      </c>
      <c r="D46" s="92" t="s">
        <v>150</v>
      </c>
      <c r="E46" s="92" t="s">
        <v>62</v>
      </c>
      <c r="F46" s="95">
        <v>46424.0</v>
      </c>
      <c r="G46" s="98">
        <f>F46-F60</f>
        <v>136</v>
      </c>
      <c r="H46" s="92" t="s">
        <v>75</v>
      </c>
      <c r="I46" s="95">
        <v>46805.0</v>
      </c>
      <c r="J46" s="98">
        <f>I46-F60</f>
        <v>517</v>
      </c>
      <c r="K46" s="95">
        <v>46646.0</v>
      </c>
      <c r="L46" s="98">
        <f>K46-F60</f>
        <v>358</v>
      </c>
      <c r="M46" s="58">
        <v>46295.0</v>
      </c>
      <c r="N46" s="98">
        <f>M46-F60</f>
        <v>7</v>
      </c>
      <c r="O46" s="95">
        <v>46575.0</v>
      </c>
      <c r="P46" s="98">
        <f>O46-F60</f>
        <v>287</v>
      </c>
      <c r="Q46" s="33"/>
      <c r="R46" s="249"/>
      <c r="S46" s="236"/>
      <c r="T46" s="33"/>
    </row>
    <row r="47" ht="28.5" customHeight="1">
      <c r="B47" s="65">
        <f t="shared" si="2"/>
        <v>10</v>
      </c>
      <c r="C47" s="92" t="s">
        <v>168</v>
      </c>
      <c r="D47" s="92" t="s">
        <v>214</v>
      </c>
      <c r="E47" s="92" t="s">
        <v>62</v>
      </c>
      <c r="F47" s="95">
        <v>46570.0</v>
      </c>
      <c r="G47" s="98">
        <f>F47-F60</f>
        <v>282</v>
      </c>
      <c r="H47" s="92" t="s">
        <v>75</v>
      </c>
      <c r="I47" s="95">
        <v>46986.0</v>
      </c>
      <c r="J47" s="98">
        <f>I47-F60</f>
        <v>698</v>
      </c>
      <c r="K47" s="95">
        <v>46605.0</v>
      </c>
      <c r="L47" s="98">
        <f>K47-F60</f>
        <v>317</v>
      </c>
      <c r="M47" s="58">
        <v>46295.0</v>
      </c>
      <c r="N47" s="98">
        <f>M47-F60</f>
        <v>7</v>
      </c>
      <c r="O47" s="95">
        <v>46612.0</v>
      </c>
      <c r="P47" s="98">
        <f>O47-F60</f>
        <v>324</v>
      </c>
      <c r="Q47" s="33"/>
      <c r="R47" s="33"/>
      <c r="S47" s="33"/>
      <c r="T47" s="33"/>
    </row>
    <row r="48" ht="28.5" customHeight="1">
      <c r="B48" s="65">
        <f t="shared" si="2"/>
        <v>11</v>
      </c>
      <c r="C48" s="92" t="s">
        <v>181</v>
      </c>
      <c r="D48" s="92" t="s">
        <v>214</v>
      </c>
      <c r="E48" s="92" t="s">
        <v>62</v>
      </c>
      <c r="F48" s="95">
        <v>46650.0</v>
      </c>
      <c r="G48" s="98">
        <f>F48-F60</f>
        <v>362</v>
      </c>
      <c r="H48" s="92" t="s">
        <v>75</v>
      </c>
      <c r="I48" s="95">
        <v>47429.0</v>
      </c>
      <c r="J48" s="98">
        <f>I48-F60</f>
        <v>1141</v>
      </c>
      <c r="K48" s="95">
        <v>46333.0</v>
      </c>
      <c r="L48" s="98">
        <f>K48-F60</f>
        <v>45</v>
      </c>
      <c r="M48" s="58">
        <v>46295.0</v>
      </c>
      <c r="N48" s="98">
        <f>M48-F60</f>
        <v>7</v>
      </c>
      <c r="O48" s="95">
        <v>46328.0</v>
      </c>
      <c r="P48" s="98">
        <f>O48-F60</f>
        <v>40</v>
      </c>
      <c r="Q48" s="33"/>
      <c r="R48" s="33"/>
      <c r="S48" s="33"/>
      <c r="T48" s="33"/>
    </row>
    <row r="49" ht="28.5" customHeight="1">
      <c r="B49" s="65">
        <f t="shared" si="2"/>
        <v>12</v>
      </c>
      <c r="C49" s="92" t="s">
        <v>187</v>
      </c>
      <c r="D49" s="92" t="s">
        <v>214</v>
      </c>
      <c r="E49" s="92" t="s">
        <v>62</v>
      </c>
      <c r="F49" s="58">
        <v>46650.0</v>
      </c>
      <c r="G49" s="98">
        <f>F49-F60</f>
        <v>362</v>
      </c>
      <c r="H49" s="92" t="s">
        <v>75</v>
      </c>
      <c r="I49" s="95">
        <v>47429.0</v>
      </c>
      <c r="J49" s="98">
        <f>I49-F60</f>
        <v>1141</v>
      </c>
      <c r="K49" s="95">
        <v>46333.0</v>
      </c>
      <c r="L49" s="98">
        <f>K49-F60</f>
        <v>45</v>
      </c>
      <c r="M49" s="58">
        <v>46295.0</v>
      </c>
      <c r="N49" s="98">
        <f>M49-F60</f>
        <v>7</v>
      </c>
      <c r="O49" s="95">
        <v>46329.0</v>
      </c>
      <c r="P49" s="98">
        <f>O49-F60</f>
        <v>41</v>
      </c>
      <c r="Q49" s="33"/>
      <c r="R49" s="33"/>
      <c r="S49" s="33"/>
      <c r="T49" s="33"/>
    </row>
    <row r="50" ht="28.5" customHeight="1">
      <c r="B50" s="65">
        <f t="shared" si="2"/>
        <v>13</v>
      </c>
      <c r="C50" s="170" t="s">
        <v>242</v>
      </c>
      <c r="D50" s="92" t="s">
        <v>214</v>
      </c>
      <c r="E50" s="92" t="s">
        <v>62</v>
      </c>
      <c r="F50" s="58">
        <v>46466.0</v>
      </c>
      <c r="G50" s="98">
        <f>F50-F60</f>
        <v>178</v>
      </c>
      <c r="H50" s="92" t="s">
        <v>75</v>
      </c>
      <c r="I50" s="95">
        <v>47939.0</v>
      </c>
      <c r="J50" s="98">
        <f>I50-F60</f>
        <v>1651</v>
      </c>
      <c r="K50" s="95">
        <v>46852.0</v>
      </c>
      <c r="L50" s="98">
        <f>K50-F60</f>
        <v>564</v>
      </c>
      <c r="M50" s="58">
        <v>46477.0</v>
      </c>
      <c r="N50" s="171">
        <f>M50-F60</f>
        <v>189</v>
      </c>
      <c r="O50" s="95">
        <v>46486.0</v>
      </c>
      <c r="P50" s="171">
        <f>O50-F60</f>
        <v>198</v>
      </c>
      <c r="Q50" s="33"/>
      <c r="R50" s="33"/>
      <c r="S50" s="33"/>
      <c r="T50" s="33"/>
    </row>
    <row r="51" ht="28.5" customHeight="1">
      <c r="B51" s="65">
        <f t="shared" si="2"/>
        <v>14</v>
      </c>
      <c r="C51" s="92" t="s">
        <v>249</v>
      </c>
      <c r="D51" s="92" t="s">
        <v>214</v>
      </c>
      <c r="E51" s="92" t="s">
        <v>62</v>
      </c>
      <c r="F51" s="58">
        <v>46466.0</v>
      </c>
      <c r="G51" s="98">
        <f>F51-F60</f>
        <v>178</v>
      </c>
      <c r="H51" s="92" t="s">
        <v>75</v>
      </c>
      <c r="I51" s="95">
        <v>47939.0</v>
      </c>
      <c r="J51" s="98">
        <f>I51-F60</f>
        <v>1651</v>
      </c>
      <c r="K51" s="95">
        <v>46844.0</v>
      </c>
      <c r="L51" s="98">
        <f>K51-F60</f>
        <v>556</v>
      </c>
      <c r="M51" s="58">
        <v>46477.0</v>
      </c>
      <c r="N51" s="171">
        <f>M51-F60</f>
        <v>189</v>
      </c>
      <c r="O51" s="95">
        <v>46478.0</v>
      </c>
      <c r="P51" s="171">
        <f>O51-F60</f>
        <v>190</v>
      </c>
      <c r="Q51" s="33"/>
      <c r="R51" s="33"/>
      <c r="S51" s="33"/>
      <c r="T51" s="33"/>
    </row>
    <row r="52" ht="28.5" customHeight="1">
      <c r="A52" s="259"/>
      <c r="B52" s="65">
        <f t="shared" si="2"/>
        <v>15</v>
      </c>
      <c r="C52" s="260" t="s">
        <v>251</v>
      </c>
      <c r="D52" s="92" t="s">
        <v>214</v>
      </c>
      <c r="E52" s="92" t="s">
        <v>62</v>
      </c>
      <c r="F52" s="95">
        <v>46573.0</v>
      </c>
      <c r="G52" s="98">
        <f>F52-F60</f>
        <v>285</v>
      </c>
      <c r="H52" s="92" t="s">
        <v>75</v>
      </c>
      <c r="I52" s="95">
        <v>48043.0</v>
      </c>
      <c r="J52" s="98">
        <f>I52-F60</f>
        <v>1755</v>
      </c>
      <c r="K52" s="95">
        <v>46943.0</v>
      </c>
      <c r="L52" s="98">
        <f>K52-$F60</f>
        <v>655</v>
      </c>
      <c r="M52" s="95">
        <v>46295.0</v>
      </c>
      <c r="N52" s="171">
        <f>M52-F60</f>
        <v>7</v>
      </c>
      <c r="O52" s="95">
        <v>46577.0</v>
      </c>
      <c r="P52" s="171">
        <f>O52-F60</f>
        <v>289</v>
      </c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</row>
    <row r="53" ht="28.5" customHeight="1">
      <c r="A53" s="259"/>
      <c r="B53" s="65">
        <f t="shared" si="2"/>
        <v>16</v>
      </c>
      <c r="C53" s="260" t="s">
        <v>254</v>
      </c>
      <c r="D53" s="92" t="s">
        <v>214</v>
      </c>
      <c r="E53" s="92" t="s">
        <v>62</v>
      </c>
      <c r="F53" s="95">
        <v>46573.0</v>
      </c>
      <c r="G53" s="98">
        <f>F53-F60</f>
        <v>285</v>
      </c>
      <c r="H53" s="92" t="s">
        <v>75</v>
      </c>
      <c r="I53" s="95">
        <v>48043.0</v>
      </c>
      <c r="J53" s="98">
        <f>I53-F60</f>
        <v>1755</v>
      </c>
      <c r="K53" s="95">
        <v>46943.0</v>
      </c>
      <c r="L53" s="98">
        <f>K53-F60</f>
        <v>655</v>
      </c>
      <c r="M53" s="95">
        <v>46295.0</v>
      </c>
      <c r="N53" s="171">
        <f>M53-F60</f>
        <v>7</v>
      </c>
      <c r="O53" s="95">
        <v>46577.0</v>
      </c>
      <c r="P53" s="171">
        <f>O53-F60</f>
        <v>289</v>
      </c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</row>
    <row r="54" ht="28.5" customHeight="1">
      <c r="A54" s="259"/>
      <c r="B54" s="65">
        <f t="shared" si="2"/>
        <v>17</v>
      </c>
      <c r="C54" s="260" t="s">
        <v>256</v>
      </c>
      <c r="D54" s="92" t="s">
        <v>214</v>
      </c>
      <c r="E54" s="92" t="s">
        <v>62</v>
      </c>
      <c r="F54" s="95">
        <v>46573.0</v>
      </c>
      <c r="G54" s="98">
        <f>F54-F60</f>
        <v>285</v>
      </c>
      <c r="H54" s="92" t="s">
        <v>75</v>
      </c>
      <c r="I54" s="95">
        <v>48043.0</v>
      </c>
      <c r="J54" s="98">
        <f>I54-F60</f>
        <v>1755</v>
      </c>
      <c r="K54" s="95">
        <v>46943.0</v>
      </c>
      <c r="L54" s="98">
        <f>K54-$F60</f>
        <v>655</v>
      </c>
      <c r="M54" s="95">
        <v>46295.0</v>
      </c>
      <c r="N54" s="171">
        <f>M54-F60</f>
        <v>7</v>
      </c>
      <c r="O54" s="95">
        <v>46577.0</v>
      </c>
      <c r="P54" s="171">
        <f>O54-F60</f>
        <v>289</v>
      </c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</row>
    <row r="55" ht="28.5" customHeight="1">
      <c r="A55" s="259"/>
      <c r="B55" s="65">
        <f t="shared" si="2"/>
        <v>18</v>
      </c>
      <c r="C55" s="260" t="s">
        <v>258</v>
      </c>
      <c r="D55" s="92" t="s">
        <v>214</v>
      </c>
      <c r="E55" s="92" t="s">
        <v>62</v>
      </c>
      <c r="F55" s="95">
        <v>46573.0</v>
      </c>
      <c r="G55" s="98">
        <f>F55-F60</f>
        <v>285</v>
      </c>
      <c r="H55" s="92" t="s">
        <v>75</v>
      </c>
      <c r="I55" s="95">
        <v>48043.0</v>
      </c>
      <c r="J55" s="98">
        <f>I55-F60</f>
        <v>1755</v>
      </c>
      <c r="K55" s="95">
        <v>46943.0</v>
      </c>
      <c r="L55" s="98">
        <f>K55-$F60</f>
        <v>655</v>
      </c>
      <c r="M55" s="95">
        <v>46295.0</v>
      </c>
      <c r="N55" s="171">
        <f>M55-F60</f>
        <v>7</v>
      </c>
      <c r="O55" s="95">
        <v>46577.0</v>
      </c>
      <c r="P55" s="171">
        <f>O55-F60</f>
        <v>289</v>
      </c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</row>
    <row r="56" ht="28.5" customHeight="1">
      <c r="A56" s="259"/>
      <c r="B56" s="65">
        <f t="shared" si="2"/>
        <v>19</v>
      </c>
      <c r="C56" s="92" t="s">
        <v>261</v>
      </c>
      <c r="D56" s="92" t="s">
        <v>214</v>
      </c>
      <c r="E56" s="92" t="s">
        <v>62</v>
      </c>
      <c r="F56" s="174">
        <v>46588.0</v>
      </c>
      <c r="G56" s="98">
        <f>F56-F60</f>
        <v>300</v>
      </c>
      <c r="H56" s="92" t="s">
        <v>75</v>
      </c>
      <c r="I56" s="95">
        <v>48058.0</v>
      </c>
      <c r="J56" s="98">
        <f>I56-F60</f>
        <v>1770</v>
      </c>
      <c r="K56" s="95">
        <v>46957.0</v>
      </c>
      <c r="L56" s="98">
        <f>K56-F60</f>
        <v>669</v>
      </c>
      <c r="M56" s="95">
        <v>46295.0</v>
      </c>
      <c r="N56" s="171">
        <f>M56-F60</f>
        <v>7</v>
      </c>
      <c r="O56" s="95">
        <v>46591.0</v>
      </c>
      <c r="P56" s="171">
        <f>O56-F60</f>
        <v>303</v>
      </c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</row>
    <row r="57" ht="28.5" customHeight="1">
      <c r="A57" s="259"/>
      <c r="B57" s="65">
        <f t="shared" si="2"/>
        <v>20</v>
      </c>
      <c r="C57" s="92" t="s">
        <v>268</v>
      </c>
      <c r="D57" s="92" t="s">
        <v>214</v>
      </c>
      <c r="E57" s="92" t="s">
        <v>62</v>
      </c>
      <c r="F57" s="174">
        <v>46588.0</v>
      </c>
      <c r="G57" s="98">
        <f>F57-F60</f>
        <v>300</v>
      </c>
      <c r="H57" s="92" t="s">
        <v>75</v>
      </c>
      <c r="I57" s="95">
        <v>48057.0</v>
      </c>
      <c r="J57" s="98">
        <f>I57-F60</f>
        <v>1769</v>
      </c>
      <c r="K57" s="95">
        <v>46957.0</v>
      </c>
      <c r="L57" s="98">
        <f>K57-F60</f>
        <v>669</v>
      </c>
      <c r="M57" s="95">
        <v>46295.0</v>
      </c>
      <c r="N57" s="171">
        <f>M57-F60</f>
        <v>7</v>
      </c>
      <c r="O57" s="95">
        <v>46591.0</v>
      </c>
      <c r="P57" s="171">
        <f>O57-F60</f>
        <v>303</v>
      </c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</row>
    <row r="58" ht="28.5" customHeight="1">
      <c r="A58" s="259"/>
      <c r="B58" s="65"/>
      <c r="C58" s="260"/>
      <c r="D58" s="92"/>
      <c r="E58" s="92"/>
      <c r="F58" s="95"/>
      <c r="G58" s="98"/>
      <c r="H58" s="92"/>
      <c r="I58" s="95"/>
      <c r="J58" s="98"/>
      <c r="K58" s="95"/>
      <c r="L58" s="98"/>
      <c r="M58" s="95"/>
      <c r="N58" s="171"/>
      <c r="O58" s="95"/>
      <c r="P58" s="171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</row>
    <row r="59" ht="28.5" customHeight="1"/>
    <row r="60" ht="28.5" customHeight="1">
      <c r="E60" s="264" t="s">
        <v>71</v>
      </c>
      <c r="F60" s="265">
        <f>TODAY()</f>
        <v>46288</v>
      </c>
    </row>
    <row r="61" ht="28.5" customHeight="1">
      <c r="E61" s="264" t="s">
        <v>545</v>
      </c>
      <c r="F61" s="266">
        <f>NOW()</f>
        <v>46288.42118</v>
      </c>
      <c r="G61" s="267"/>
    </row>
    <row r="62" ht="28.5" customHeight="1">
      <c r="I62" s="241"/>
    </row>
    <row r="63" ht="24.75" customHeight="1"/>
    <row r="64" ht="24.75" customHeight="1"/>
    <row r="65" ht="24.75" customHeight="1"/>
    <row r="66" ht="24.75" customHeight="1"/>
    <row r="67" ht="24.75" customHeight="1">
      <c r="C67" s="268"/>
      <c r="D67" s="269"/>
      <c r="E67" s="270"/>
      <c r="O67" s="271"/>
      <c r="P67" s="271"/>
      <c r="Q67" s="271"/>
      <c r="R67" s="271"/>
      <c r="S67" s="271"/>
      <c r="T67" s="271"/>
      <c r="U67" s="272"/>
      <c r="V67" s="271"/>
      <c r="W67" s="271"/>
      <c r="X67" s="271"/>
      <c r="Y67" s="273"/>
      <c r="Z67" s="274"/>
      <c r="AA67" s="275"/>
      <c r="AB67" s="275"/>
      <c r="AC67" s="275"/>
      <c r="AD67" s="275"/>
    </row>
    <row r="68" ht="24.75" customHeight="1">
      <c r="C68" s="268"/>
      <c r="D68" s="269"/>
      <c r="E68" s="270"/>
      <c r="O68" s="271"/>
      <c r="P68" s="271"/>
      <c r="Q68" s="271"/>
      <c r="R68" s="271"/>
      <c r="S68" s="271"/>
      <c r="T68" s="271"/>
      <c r="U68" s="272"/>
      <c r="V68" s="271"/>
      <c r="W68" s="271"/>
      <c r="X68" s="271"/>
      <c r="Y68" s="273"/>
      <c r="Z68" s="274"/>
      <c r="AA68" s="275"/>
      <c r="AB68" s="275"/>
      <c r="AC68" s="275"/>
      <c r="AD68" s="275"/>
    </row>
    <row r="69" ht="24.75" customHeight="1">
      <c r="C69" s="268"/>
      <c r="D69" s="269"/>
      <c r="E69" s="270"/>
      <c r="O69" s="271"/>
      <c r="P69" s="271"/>
      <c r="Q69" s="271"/>
      <c r="R69" s="271"/>
      <c r="S69" s="271"/>
      <c r="T69" s="271"/>
      <c r="U69" s="272"/>
      <c r="V69" s="271"/>
      <c r="W69" s="271"/>
      <c r="X69" s="271"/>
      <c r="Y69" s="273"/>
      <c r="Z69" s="274"/>
      <c r="AA69" s="275"/>
      <c r="AB69" s="275"/>
    </row>
    <row r="70" ht="24.75" customHeight="1">
      <c r="C70" s="268"/>
      <c r="D70" s="281"/>
      <c r="O70" s="271"/>
      <c r="P70" s="271"/>
      <c r="Q70" s="271"/>
      <c r="R70" s="271"/>
      <c r="S70" s="271"/>
      <c r="T70" s="271"/>
      <c r="U70" s="272"/>
      <c r="V70" s="271"/>
      <c r="W70" s="271"/>
      <c r="X70" s="271"/>
      <c r="Y70" s="289"/>
      <c r="Z70" s="275"/>
      <c r="AA70" s="275"/>
      <c r="AB70" s="275"/>
    </row>
    <row r="71" ht="24.75" customHeight="1">
      <c r="C71" s="268"/>
      <c r="D71" s="281"/>
      <c r="O71" s="271"/>
      <c r="P71" s="271"/>
      <c r="Q71" s="271"/>
      <c r="R71" s="271"/>
      <c r="S71" s="271"/>
      <c r="T71" s="271"/>
      <c r="U71" s="290"/>
      <c r="V71" s="271"/>
      <c r="W71" s="271"/>
      <c r="X71" s="271"/>
    </row>
    <row r="72" ht="24.75" customHeight="1">
      <c r="C72" s="268"/>
      <c r="D72" s="281"/>
    </row>
    <row r="73" ht="24.75" customHeight="1">
      <c r="C73" s="268"/>
      <c r="D73" s="281"/>
      <c r="G73" s="271"/>
      <c r="H73" s="271"/>
      <c r="I73" s="271"/>
      <c r="J73" s="271"/>
      <c r="K73" s="271"/>
      <c r="L73" s="271"/>
      <c r="M73" s="290"/>
      <c r="N73" s="271"/>
      <c r="O73" s="271"/>
      <c r="P73" s="271"/>
      <c r="Q73" s="289"/>
      <c r="R73" s="275"/>
      <c r="S73" s="275"/>
      <c r="T73" s="275"/>
    </row>
    <row r="74" ht="42.75" customHeight="1">
      <c r="B74" s="291" t="s">
        <v>8</v>
      </c>
      <c r="C74" s="293" t="s">
        <v>29</v>
      </c>
      <c r="D74" s="294" t="s">
        <v>561</v>
      </c>
      <c r="E74" s="294" t="s">
        <v>563</v>
      </c>
      <c r="F74" s="295" t="s">
        <v>35</v>
      </c>
      <c r="G74" s="296" t="s">
        <v>37</v>
      </c>
      <c r="H74" s="295" t="s">
        <v>41</v>
      </c>
      <c r="I74" s="295" t="s">
        <v>43</v>
      </c>
      <c r="J74" s="297" t="s">
        <v>44</v>
      </c>
      <c r="K74" s="298" t="s">
        <v>565</v>
      </c>
      <c r="L74" s="296" t="s">
        <v>566</v>
      </c>
      <c r="M74" s="296" t="s">
        <v>567</v>
      </c>
      <c r="N74" s="296" t="s">
        <v>568</v>
      </c>
      <c r="O74" s="296" t="s">
        <v>569</v>
      </c>
      <c r="P74" s="296" t="s">
        <v>570</v>
      </c>
      <c r="Q74" s="294" t="s">
        <v>571</v>
      </c>
      <c r="R74" s="294" t="s">
        <v>572</v>
      </c>
      <c r="S74" s="296" t="s">
        <v>573</v>
      </c>
      <c r="T74" s="299"/>
      <c r="U74" s="299"/>
    </row>
    <row r="75" ht="42.75" customHeight="1">
      <c r="B75" s="300">
        <v>1.0</v>
      </c>
      <c r="C75" s="300" t="s">
        <v>136</v>
      </c>
      <c r="D75" s="294" t="s">
        <v>575</v>
      </c>
      <c r="E75" s="301" t="s">
        <v>576</v>
      </c>
      <c r="F75" s="302">
        <v>46447.0</v>
      </c>
      <c r="G75" s="302">
        <v>46561.0</v>
      </c>
      <c r="H75" s="95">
        <v>47089.0</v>
      </c>
      <c r="I75" s="302">
        <v>46295.0</v>
      </c>
      <c r="J75" s="302">
        <v>46358.0</v>
      </c>
      <c r="K75" s="296" t="s">
        <v>577</v>
      </c>
      <c r="L75" s="296"/>
      <c r="M75" s="304"/>
      <c r="N75" s="296"/>
      <c r="O75" s="296"/>
      <c r="P75" s="296"/>
      <c r="Q75" s="297"/>
      <c r="R75" s="297"/>
      <c r="S75" s="297"/>
      <c r="T75" s="305"/>
      <c r="U75" s="305"/>
    </row>
    <row r="76" ht="42.75" customHeight="1">
      <c r="B76" s="300">
        <v>2.0</v>
      </c>
      <c r="C76" s="300" t="s">
        <v>143</v>
      </c>
      <c r="D76" s="294" t="s">
        <v>578</v>
      </c>
      <c r="E76" s="301" t="s">
        <v>579</v>
      </c>
      <c r="F76" s="302">
        <v>46364.0</v>
      </c>
      <c r="G76" s="306">
        <v>46749.0</v>
      </c>
      <c r="H76" s="306">
        <v>46345.0</v>
      </c>
      <c r="I76" s="302">
        <v>46295.0</v>
      </c>
      <c r="J76" s="302">
        <v>46575.0</v>
      </c>
      <c r="K76" s="299" t="s">
        <v>580</v>
      </c>
      <c r="L76" s="299">
        <v>81429.0</v>
      </c>
      <c r="M76" s="294" t="s">
        <v>581</v>
      </c>
      <c r="N76" s="296">
        <v>46.0</v>
      </c>
      <c r="O76" s="296">
        <v>43.0</v>
      </c>
      <c r="P76" s="296">
        <f t="shared" ref="P76:P81" si="3">N76-O76</f>
        <v>3</v>
      </c>
      <c r="Q76" s="297">
        <f t="shared" ref="Q76:Q81" si="4">N76*L76</f>
        <v>3745734</v>
      </c>
      <c r="R76" s="297">
        <f t="shared" ref="R76:R81" si="5">O76*L76</f>
        <v>3501447</v>
      </c>
      <c r="S76" s="297">
        <f t="shared" ref="S76:S81" si="6">Q76-R76</f>
        <v>244287</v>
      </c>
      <c r="T76" s="305"/>
      <c r="U76" s="305"/>
    </row>
    <row r="77" ht="42.75" customHeight="1">
      <c r="B77" s="300">
        <f t="shared" ref="B77:B94" si="7">B76+1</f>
        <v>3</v>
      </c>
      <c r="C77" s="300" t="s">
        <v>155</v>
      </c>
      <c r="D77" s="294" t="s">
        <v>586</v>
      </c>
      <c r="E77" s="301" t="s">
        <v>587</v>
      </c>
      <c r="F77" s="302">
        <v>46364.0</v>
      </c>
      <c r="G77" s="306">
        <v>46747.0</v>
      </c>
      <c r="H77" s="302">
        <v>46358.0</v>
      </c>
      <c r="I77" s="302">
        <v>46295.0</v>
      </c>
      <c r="J77" s="302">
        <v>46573.0</v>
      </c>
      <c r="K77" s="299" t="s">
        <v>580</v>
      </c>
      <c r="L77" s="299">
        <v>81429.0</v>
      </c>
      <c r="M77" s="294" t="s">
        <v>581</v>
      </c>
      <c r="N77" s="296">
        <v>46.0</v>
      </c>
      <c r="O77" s="296">
        <v>43.0</v>
      </c>
      <c r="P77" s="296">
        <f t="shared" si="3"/>
        <v>3</v>
      </c>
      <c r="Q77" s="297">
        <f t="shared" si="4"/>
        <v>3745734</v>
      </c>
      <c r="R77" s="297">
        <f t="shared" si="5"/>
        <v>3501447</v>
      </c>
      <c r="S77" s="297">
        <f t="shared" si="6"/>
        <v>244287</v>
      </c>
      <c r="T77" s="305"/>
      <c r="U77" s="305"/>
    </row>
    <row r="78" ht="42.75" customHeight="1">
      <c r="B78" s="300">
        <f t="shared" si="7"/>
        <v>4</v>
      </c>
      <c r="C78" s="300" t="s">
        <v>159</v>
      </c>
      <c r="D78" s="294" t="s">
        <v>591</v>
      </c>
      <c r="E78" s="301" t="s">
        <v>592</v>
      </c>
      <c r="F78" s="302">
        <v>46364.0</v>
      </c>
      <c r="G78" s="302">
        <v>46727.0</v>
      </c>
      <c r="H78" s="302">
        <v>46366.0</v>
      </c>
      <c r="I78" s="302">
        <v>46295.0</v>
      </c>
      <c r="J78" s="302">
        <v>46576.0</v>
      </c>
      <c r="K78" s="299" t="s">
        <v>580</v>
      </c>
      <c r="L78" s="299">
        <v>81429.0</v>
      </c>
      <c r="M78" s="294" t="s">
        <v>581</v>
      </c>
      <c r="N78" s="296">
        <v>46.0</v>
      </c>
      <c r="O78" s="296">
        <v>43.0</v>
      </c>
      <c r="P78" s="296">
        <f t="shared" si="3"/>
        <v>3</v>
      </c>
      <c r="Q78" s="297">
        <f t="shared" si="4"/>
        <v>3745734</v>
      </c>
      <c r="R78" s="297">
        <f t="shared" si="5"/>
        <v>3501447</v>
      </c>
      <c r="S78" s="297">
        <f t="shared" si="6"/>
        <v>244287</v>
      </c>
      <c r="T78" s="305"/>
      <c r="U78" s="305"/>
    </row>
    <row r="79" ht="42.75" customHeight="1">
      <c r="B79" s="300">
        <f t="shared" si="7"/>
        <v>5</v>
      </c>
      <c r="C79" s="300" t="s">
        <v>160</v>
      </c>
      <c r="D79" s="294" t="s">
        <v>593</v>
      </c>
      <c r="E79" s="301" t="s">
        <v>594</v>
      </c>
      <c r="F79" s="302">
        <v>46364.0</v>
      </c>
      <c r="G79" s="302">
        <v>46909.0</v>
      </c>
      <c r="H79" s="306">
        <v>46351.0</v>
      </c>
      <c r="I79" s="302">
        <v>46295.0</v>
      </c>
      <c r="J79" s="302">
        <v>46575.0</v>
      </c>
      <c r="K79" s="299" t="s">
        <v>580</v>
      </c>
      <c r="L79" s="299">
        <v>81429.0</v>
      </c>
      <c r="M79" s="294" t="s">
        <v>581</v>
      </c>
      <c r="N79" s="294">
        <v>46.0</v>
      </c>
      <c r="O79" s="296">
        <v>43.0</v>
      </c>
      <c r="P79" s="296">
        <f t="shared" si="3"/>
        <v>3</v>
      </c>
      <c r="Q79" s="297">
        <f t="shared" si="4"/>
        <v>3745734</v>
      </c>
      <c r="R79" s="297">
        <f t="shared" si="5"/>
        <v>3501447</v>
      </c>
      <c r="S79" s="297">
        <f t="shared" si="6"/>
        <v>244287</v>
      </c>
      <c r="T79" s="305"/>
      <c r="U79" s="305"/>
    </row>
    <row r="80" ht="42.75" customHeight="1">
      <c r="B80" s="300">
        <f t="shared" si="7"/>
        <v>6</v>
      </c>
      <c r="C80" s="300" t="s">
        <v>93</v>
      </c>
      <c r="D80" s="294" t="s">
        <v>596</v>
      </c>
      <c r="E80" s="301" t="s">
        <v>597</v>
      </c>
      <c r="F80" s="302">
        <v>46364.0</v>
      </c>
      <c r="G80" s="306">
        <v>46747.0</v>
      </c>
      <c r="H80" s="302">
        <v>46361.0</v>
      </c>
      <c r="I80" s="302">
        <v>46295.0</v>
      </c>
      <c r="J80" s="302">
        <v>46574.0</v>
      </c>
      <c r="K80" s="299" t="s">
        <v>580</v>
      </c>
      <c r="L80" s="299">
        <v>81429.0</v>
      </c>
      <c r="M80" s="294" t="s">
        <v>581</v>
      </c>
      <c r="N80" s="294">
        <v>46.0</v>
      </c>
      <c r="O80" s="296">
        <v>43.0</v>
      </c>
      <c r="P80" s="296">
        <f t="shared" si="3"/>
        <v>3</v>
      </c>
      <c r="Q80" s="297">
        <f t="shared" si="4"/>
        <v>3745734</v>
      </c>
      <c r="R80" s="297">
        <f t="shared" si="5"/>
        <v>3501447</v>
      </c>
      <c r="S80" s="297">
        <f t="shared" si="6"/>
        <v>244287</v>
      </c>
      <c r="T80" s="305"/>
      <c r="U80" s="305"/>
    </row>
    <row r="81" ht="42.75" customHeight="1">
      <c r="B81" s="300">
        <f t="shared" si="7"/>
        <v>7</v>
      </c>
      <c r="C81" s="300" t="s">
        <v>147</v>
      </c>
      <c r="D81" s="294" t="s">
        <v>598</v>
      </c>
      <c r="E81" s="301" t="s">
        <v>599</v>
      </c>
      <c r="F81" s="306">
        <v>46377.0</v>
      </c>
      <c r="G81" s="306">
        <v>46747.0</v>
      </c>
      <c r="H81" s="302">
        <v>46357.0</v>
      </c>
      <c r="I81" s="302">
        <v>46295.0</v>
      </c>
      <c r="J81" s="302">
        <v>46573.0</v>
      </c>
      <c r="K81" s="299" t="s">
        <v>580</v>
      </c>
      <c r="L81" s="299">
        <v>81429.0</v>
      </c>
      <c r="M81" s="294" t="s">
        <v>581</v>
      </c>
      <c r="N81" s="294">
        <v>46.0</v>
      </c>
      <c r="O81" s="296">
        <v>43.0</v>
      </c>
      <c r="P81" s="296">
        <f t="shared" si="3"/>
        <v>3</v>
      </c>
      <c r="Q81" s="297">
        <f t="shared" si="4"/>
        <v>3745734</v>
      </c>
      <c r="R81" s="297">
        <f t="shared" si="5"/>
        <v>3501447</v>
      </c>
      <c r="S81" s="297">
        <f t="shared" si="6"/>
        <v>244287</v>
      </c>
      <c r="T81" s="305"/>
      <c r="U81" s="305"/>
    </row>
    <row r="82" ht="42.75" customHeight="1">
      <c r="B82" s="300">
        <f t="shared" si="7"/>
        <v>8</v>
      </c>
      <c r="C82" s="300" t="s">
        <v>132</v>
      </c>
      <c r="D82" s="294" t="s">
        <v>604</v>
      </c>
      <c r="E82" s="301" t="s">
        <v>605</v>
      </c>
      <c r="F82" s="302">
        <v>46439.0</v>
      </c>
      <c r="G82" s="302">
        <v>46805.0</v>
      </c>
      <c r="H82" s="302">
        <v>46640.0</v>
      </c>
      <c r="I82" s="302">
        <v>46295.0</v>
      </c>
      <c r="J82" s="302">
        <v>46214.0</v>
      </c>
      <c r="K82" s="312" t="s">
        <v>577</v>
      </c>
      <c r="L82" s="299"/>
      <c r="M82" s="294"/>
      <c r="N82" s="294"/>
      <c r="O82" s="294"/>
      <c r="P82" s="296"/>
      <c r="Q82" s="297"/>
      <c r="R82" s="297"/>
      <c r="S82" s="297"/>
      <c r="T82" s="305"/>
      <c r="U82" s="305"/>
    </row>
    <row r="83" ht="42.75" customHeight="1">
      <c r="B83" s="300">
        <f t="shared" si="7"/>
        <v>9</v>
      </c>
      <c r="C83" s="300" t="s">
        <v>208</v>
      </c>
      <c r="D83" s="294" t="s">
        <v>607</v>
      </c>
      <c r="E83" s="301" t="s">
        <v>609</v>
      </c>
      <c r="F83" s="302">
        <v>46424.0</v>
      </c>
      <c r="G83" s="302">
        <v>46805.0</v>
      </c>
      <c r="H83" s="302">
        <v>46646.0</v>
      </c>
      <c r="I83" s="302">
        <v>46295.0</v>
      </c>
      <c r="J83" s="302">
        <v>46575.0</v>
      </c>
      <c r="K83" s="312" t="s">
        <v>577</v>
      </c>
      <c r="L83" s="299"/>
      <c r="M83" s="294"/>
      <c r="N83" s="294"/>
      <c r="O83" s="294"/>
      <c r="P83" s="296"/>
      <c r="Q83" s="297"/>
      <c r="R83" s="297"/>
      <c r="S83" s="297"/>
      <c r="T83" s="305"/>
      <c r="U83" s="305"/>
    </row>
    <row r="84" ht="42.75" customHeight="1">
      <c r="B84" s="300">
        <f t="shared" si="7"/>
        <v>10</v>
      </c>
      <c r="C84" s="300" t="s">
        <v>168</v>
      </c>
      <c r="D84" s="294" t="s">
        <v>611</v>
      </c>
      <c r="E84" s="301" t="s">
        <v>612</v>
      </c>
      <c r="F84" s="302">
        <v>46570.0</v>
      </c>
      <c r="G84" s="302">
        <v>46986.0</v>
      </c>
      <c r="H84" s="302">
        <v>46605.0</v>
      </c>
      <c r="I84" s="302">
        <v>46295.0</v>
      </c>
      <c r="J84" s="302">
        <v>46612.0</v>
      </c>
      <c r="K84" s="299" t="s">
        <v>613</v>
      </c>
      <c r="L84" s="299">
        <v>111083.0</v>
      </c>
      <c r="M84" s="294" t="s">
        <v>614</v>
      </c>
      <c r="N84" s="294">
        <v>59.0</v>
      </c>
      <c r="O84" s="294">
        <v>38.0</v>
      </c>
      <c r="P84" s="296">
        <f t="shared" ref="P84:P94" si="8">N84-O84</f>
        <v>21</v>
      </c>
      <c r="Q84" s="297">
        <f t="shared" ref="Q84:Q94" si="9">N84*L84</f>
        <v>6553897</v>
      </c>
      <c r="R84" s="297">
        <f t="shared" ref="R84:R94" si="10">O84*L84</f>
        <v>4221154</v>
      </c>
      <c r="S84" s="297">
        <f t="shared" ref="S84:S94" si="11">Q84-R84</f>
        <v>2332743</v>
      </c>
      <c r="T84" s="305"/>
      <c r="U84" s="305"/>
    </row>
    <row r="85" ht="42.75" customHeight="1">
      <c r="B85" s="300">
        <f t="shared" si="7"/>
        <v>11</v>
      </c>
      <c r="C85" s="300" t="s">
        <v>181</v>
      </c>
      <c r="D85" s="294" t="s">
        <v>615</v>
      </c>
      <c r="E85" s="301" t="s">
        <v>616</v>
      </c>
      <c r="F85" s="302">
        <v>46650.0</v>
      </c>
      <c r="G85" s="302">
        <v>47429.0</v>
      </c>
      <c r="H85" s="302">
        <v>46333.0</v>
      </c>
      <c r="I85" s="302">
        <v>46295.0</v>
      </c>
      <c r="J85" s="302">
        <v>46328.0</v>
      </c>
      <c r="K85" s="295" t="s">
        <v>613</v>
      </c>
      <c r="L85" s="295">
        <v>114662.0</v>
      </c>
      <c r="M85" s="294" t="s">
        <v>617</v>
      </c>
      <c r="N85" s="294">
        <v>59.0</v>
      </c>
      <c r="O85" s="294">
        <v>24.0</v>
      </c>
      <c r="P85" s="296">
        <f t="shared" si="8"/>
        <v>35</v>
      </c>
      <c r="Q85" s="297">
        <f t="shared" si="9"/>
        <v>6765058</v>
      </c>
      <c r="R85" s="297">
        <f t="shared" si="10"/>
        <v>2751888</v>
      </c>
      <c r="S85" s="297">
        <f t="shared" si="11"/>
        <v>4013170</v>
      </c>
      <c r="T85" s="297"/>
      <c r="U85" s="297"/>
    </row>
    <row r="86" ht="42.75" customHeight="1">
      <c r="B86" s="300">
        <f t="shared" si="7"/>
        <v>12</v>
      </c>
      <c r="C86" s="300" t="s">
        <v>187</v>
      </c>
      <c r="D86" s="294" t="s">
        <v>618</v>
      </c>
      <c r="E86" s="301" t="s">
        <v>619</v>
      </c>
      <c r="F86" s="302">
        <v>46650.0</v>
      </c>
      <c r="G86" s="302">
        <v>47429.0</v>
      </c>
      <c r="H86" s="302">
        <v>46333.0</v>
      </c>
      <c r="I86" s="302">
        <v>46295.0</v>
      </c>
      <c r="J86" s="302">
        <v>46329.0</v>
      </c>
      <c r="K86" s="295" t="s">
        <v>613</v>
      </c>
      <c r="L86" s="295">
        <v>114662.0</v>
      </c>
      <c r="M86" s="294" t="s">
        <v>617</v>
      </c>
      <c r="N86" s="294">
        <v>59.0</v>
      </c>
      <c r="O86" s="294">
        <v>24.0</v>
      </c>
      <c r="P86" s="296">
        <f t="shared" si="8"/>
        <v>35</v>
      </c>
      <c r="Q86" s="297">
        <f t="shared" si="9"/>
        <v>6765058</v>
      </c>
      <c r="R86" s="297">
        <f t="shared" si="10"/>
        <v>2751888</v>
      </c>
      <c r="S86" s="297">
        <f t="shared" si="11"/>
        <v>4013170</v>
      </c>
      <c r="T86" s="297"/>
      <c r="U86" s="297"/>
    </row>
    <row r="87" ht="42.75" customHeight="1">
      <c r="B87" s="300">
        <f t="shared" si="7"/>
        <v>13</v>
      </c>
      <c r="C87" s="296" t="s">
        <v>242</v>
      </c>
      <c r="D87" s="294" t="s">
        <v>620</v>
      </c>
      <c r="E87" s="301" t="s">
        <v>621</v>
      </c>
      <c r="F87" s="302">
        <v>46466.0</v>
      </c>
      <c r="G87" s="302">
        <v>47939.0</v>
      </c>
      <c r="H87" s="302">
        <v>46852.0</v>
      </c>
      <c r="I87" s="302">
        <v>46477.0</v>
      </c>
      <c r="J87" s="302">
        <v>46486.0</v>
      </c>
      <c r="K87" s="299" t="s">
        <v>622</v>
      </c>
      <c r="L87" s="299">
        <v>114219.0</v>
      </c>
      <c r="M87" s="296" t="s">
        <v>617</v>
      </c>
      <c r="N87" s="294">
        <v>60.0</v>
      </c>
      <c r="O87" s="294">
        <v>6.0</v>
      </c>
      <c r="P87" s="296">
        <f t="shared" si="8"/>
        <v>54</v>
      </c>
      <c r="Q87" s="297">
        <f t="shared" si="9"/>
        <v>6853140</v>
      </c>
      <c r="R87" s="297">
        <f t="shared" si="10"/>
        <v>685314</v>
      </c>
      <c r="S87" s="297">
        <f t="shared" si="11"/>
        <v>6167826</v>
      </c>
      <c r="T87" s="297"/>
      <c r="U87" s="297"/>
    </row>
    <row r="88" ht="42.75" customHeight="1">
      <c r="B88" s="300">
        <f t="shared" si="7"/>
        <v>14</v>
      </c>
      <c r="C88" s="300" t="s">
        <v>249</v>
      </c>
      <c r="D88" s="294" t="s">
        <v>623</v>
      </c>
      <c r="E88" s="301" t="s">
        <v>624</v>
      </c>
      <c r="F88" s="302">
        <v>46466.0</v>
      </c>
      <c r="G88" s="302">
        <v>47939.0</v>
      </c>
      <c r="H88" s="302">
        <v>46844.0</v>
      </c>
      <c r="I88" s="302">
        <v>46477.0</v>
      </c>
      <c r="J88" s="302">
        <v>46478.0</v>
      </c>
      <c r="K88" s="299" t="s">
        <v>622</v>
      </c>
      <c r="L88" s="299">
        <v>114219.0</v>
      </c>
      <c r="M88" s="296" t="s">
        <v>617</v>
      </c>
      <c r="N88" s="294">
        <v>60.0</v>
      </c>
      <c r="O88" s="294">
        <v>6.0</v>
      </c>
      <c r="P88" s="296">
        <f t="shared" si="8"/>
        <v>54</v>
      </c>
      <c r="Q88" s="297">
        <f t="shared" si="9"/>
        <v>6853140</v>
      </c>
      <c r="R88" s="297">
        <f t="shared" si="10"/>
        <v>685314</v>
      </c>
      <c r="S88" s="297">
        <f t="shared" si="11"/>
        <v>6167826</v>
      </c>
      <c r="T88" s="297"/>
      <c r="U88" s="297"/>
    </row>
    <row r="89" ht="42.75" customHeight="1">
      <c r="B89" s="300">
        <f t="shared" si="7"/>
        <v>15</v>
      </c>
      <c r="C89" s="300" t="s">
        <v>251</v>
      </c>
      <c r="D89" s="294" t="s">
        <v>625</v>
      </c>
      <c r="E89" s="301" t="s">
        <v>626</v>
      </c>
      <c r="F89" s="302">
        <v>46573.0</v>
      </c>
      <c r="G89" s="302">
        <v>48043.0</v>
      </c>
      <c r="H89" s="302">
        <v>46943.0</v>
      </c>
      <c r="I89" s="302">
        <v>46295.0</v>
      </c>
      <c r="J89" s="302">
        <v>46577.0</v>
      </c>
      <c r="K89" s="295" t="s">
        <v>622</v>
      </c>
      <c r="L89" s="295">
        <v>111000.0</v>
      </c>
      <c r="M89" s="294" t="s">
        <v>627</v>
      </c>
      <c r="N89" s="294">
        <v>60.0</v>
      </c>
      <c r="O89" s="294">
        <v>3.0</v>
      </c>
      <c r="P89" s="296">
        <f t="shared" si="8"/>
        <v>57</v>
      </c>
      <c r="Q89" s="297">
        <f t="shared" si="9"/>
        <v>6660000</v>
      </c>
      <c r="R89" s="297">
        <f t="shared" si="10"/>
        <v>333000</v>
      </c>
      <c r="S89" s="297">
        <f t="shared" si="11"/>
        <v>6327000</v>
      </c>
      <c r="T89" s="297"/>
      <c r="U89" s="297"/>
    </row>
    <row r="90" ht="42.75" customHeight="1">
      <c r="B90" s="300">
        <f t="shared" si="7"/>
        <v>16</v>
      </c>
      <c r="C90" s="300" t="s">
        <v>254</v>
      </c>
      <c r="D90" s="294" t="s">
        <v>628</v>
      </c>
      <c r="E90" s="301" t="s">
        <v>629</v>
      </c>
      <c r="F90" s="302">
        <v>46573.0</v>
      </c>
      <c r="G90" s="302">
        <v>48043.0</v>
      </c>
      <c r="H90" s="302">
        <v>46943.0</v>
      </c>
      <c r="I90" s="302">
        <v>46295.0</v>
      </c>
      <c r="J90" s="302">
        <v>46577.0</v>
      </c>
      <c r="K90" s="295" t="s">
        <v>630</v>
      </c>
      <c r="L90" s="295">
        <v>117890.0</v>
      </c>
      <c r="M90" s="294" t="s">
        <v>631</v>
      </c>
      <c r="N90" s="294">
        <v>60.0</v>
      </c>
      <c r="O90" s="294">
        <v>3.0</v>
      </c>
      <c r="P90" s="296">
        <f t="shared" si="8"/>
        <v>57</v>
      </c>
      <c r="Q90" s="297">
        <f t="shared" si="9"/>
        <v>7073400</v>
      </c>
      <c r="R90" s="297">
        <f t="shared" si="10"/>
        <v>353670</v>
      </c>
      <c r="S90" s="297">
        <f t="shared" si="11"/>
        <v>6719730</v>
      </c>
      <c r="T90" s="297"/>
      <c r="U90" s="297"/>
    </row>
    <row r="91" ht="42.75" customHeight="1">
      <c r="B91" s="300">
        <f t="shared" si="7"/>
        <v>17</v>
      </c>
      <c r="C91" s="300" t="s">
        <v>256</v>
      </c>
      <c r="D91" s="298" t="s">
        <v>632</v>
      </c>
      <c r="E91" s="301" t="s">
        <v>633</v>
      </c>
      <c r="F91" s="302">
        <v>46573.0</v>
      </c>
      <c r="G91" s="302">
        <v>48043.0</v>
      </c>
      <c r="H91" s="302">
        <v>46943.0</v>
      </c>
      <c r="I91" s="302">
        <v>46295.0</v>
      </c>
      <c r="J91" s="302">
        <v>46577.0</v>
      </c>
      <c r="K91" s="295" t="s">
        <v>630</v>
      </c>
      <c r="L91" s="295">
        <v>117890.0</v>
      </c>
      <c r="M91" s="294" t="s">
        <v>631</v>
      </c>
      <c r="N91" s="294">
        <v>60.0</v>
      </c>
      <c r="O91" s="294">
        <v>3.0</v>
      </c>
      <c r="P91" s="296">
        <f t="shared" si="8"/>
        <v>57</v>
      </c>
      <c r="Q91" s="297">
        <f t="shared" si="9"/>
        <v>7073400</v>
      </c>
      <c r="R91" s="297">
        <f t="shared" si="10"/>
        <v>353670</v>
      </c>
      <c r="S91" s="297">
        <f t="shared" si="11"/>
        <v>6719730</v>
      </c>
      <c r="T91" s="297"/>
      <c r="U91" s="297"/>
    </row>
    <row r="92" ht="42.75" customHeight="1">
      <c r="B92" s="300">
        <f t="shared" si="7"/>
        <v>18</v>
      </c>
      <c r="C92" s="300" t="s">
        <v>258</v>
      </c>
      <c r="D92" s="298" t="s">
        <v>634</v>
      </c>
      <c r="E92" s="301" t="s">
        <v>635</v>
      </c>
      <c r="F92" s="302">
        <v>46573.0</v>
      </c>
      <c r="G92" s="302">
        <v>48043.0</v>
      </c>
      <c r="H92" s="302">
        <v>46943.0</v>
      </c>
      <c r="I92" s="302">
        <v>46295.0</v>
      </c>
      <c r="J92" s="302">
        <v>46577.0</v>
      </c>
      <c r="K92" s="295" t="s">
        <v>622</v>
      </c>
      <c r="L92" s="295">
        <v>111000.0</v>
      </c>
      <c r="M92" s="294" t="s">
        <v>627</v>
      </c>
      <c r="N92" s="294">
        <v>60.0</v>
      </c>
      <c r="O92" s="294">
        <v>3.0</v>
      </c>
      <c r="P92" s="296">
        <f t="shared" si="8"/>
        <v>57</v>
      </c>
      <c r="Q92" s="297">
        <f t="shared" si="9"/>
        <v>6660000</v>
      </c>
      <c r="R92" s="297">
        <f t="shared" si="10"/>
        <v>333000</v>
      </c>
      <c r="S92" s="297">
        <f t="shared" si="11"/>
        <v>6327000</v>
      </c>
      <c r="T92" s="297"/>
      <c r="U92" s="297"/>
    </row>
    <row r="93" ht="42.75" customHeight="1">
      <c r="B93" s="300">
        <f t="shared" si="7"/>
        <v>19</v>
      </c>
      <c r="C93" s="300" t="s">
        <v>261</v>
      </c>
      <c r="D93" s="298">
        <v>18139.0</v>
      </c>
      <c r="E93" s="301" t="s">
        <v>636</v>
      </c>
      <c r="F93" s="313">
        <v>46588.0</v>
      </c>
      <c r="G93" s="313">
        <v>48058.0</v>
      </c>
      <c r="H93" s="313">
        <v>46957.0</v>
      </c>
      <c r="I93" s="313">
        <v>46295.0</v>
      </c>
      <c r="J93" s="313">
        <v>46591.0</v>
      </c>
      <c r="K93" s="314" t="s">
        <v>637</v>
      </c>
      <c r="L93" s="294">
        <v>114660.0</v>
      </c>
      <c r="M93" s="294" t="s">
        <v>638</v>
      </c>
      <c r="N93" s="294">
        <v>60.0</v>
      </c>
      <c r="O93" s="294">
        <v>2.0</v>
      </c>
      <c r="P93" s="296">
        <f t="shared" si="8"/>
        <v>58</v>
      </c>
      <c r="Q93" s="297">
        <f t="shared" si="9"/>
        <v>6879600</v>
      </c>
      <c r="R93" s="297">
        <f t="shared" si="10"/>
        <v>229320</v>
      </c>
      <c r="S93" s="297">
        <f t="shared" si="11"/>
        <v>6650280</v>
      </c>
      <c r="T93" s="297"/>
      <c r="U93" s="297"/>
    </row>
    <row r="94" ht="42.75" customHeight="1">
      <c r="B94" s="300">
        <f t="shared" si="7"/>
        <v>20</v>
      </c>
      <c r="C94" s="300" t="s">
        <v>268</v>
      </c>
      <c r="D94" s="298">
        <v>18181.0</v>
      </c>
      <c r="E94" s="301" t="s">
        <v>639</v>
      </c>
      <c r="F94" s="313">
        <v>46588.0</v>
      </c>
      <c r="G94" s="313">
        <v>48057.0</v>
      </c>
      <c r="H94" s="313">
        <v>46957.0</v>
      </c>
      <c r="I94" s="313">
        <v>46295.0</v>
      </c>
      <c r="J94" s="313">
        <v>46591.0</v>
      </c>
      <c r="K94" s="314" t="s">
        <v>637</v>
      </c>
      <c r="L94" s="294">
        <v>114660.0</v>
      </c>
      <c r="M94" s="294" t="s">
        <v>638</v>
      </c>
      <c r="N94" s="294">
        <v>60.0</v>
      </c>
      <c r="O94" s="294">
        <v>2.0</v>
      </c>
      <c r="P94" s="296">
        <f t="shared" si="8"/>
        <v>58</v>
      </c>
      <c r="Q94" s="297">
        <f t="shared" si="9"/>
        <v>6879600</v>
      </c>
      <c r="R94" s="297">
        <f t="shared" si="10"/>
        <v>229320</v>
      </c>
      <c r="S94" s="297">
        <f t="shared" si="11"/>
        <v>6650280</v>
      </c>
      <c r="T94" s="297"/>
      <c r="U94" s="297"/>
    </row>
    <row r="95" ht="42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</sheetData>
  <mergeCells count="4">
    <mergeCell ref="B1:P1"/>
    <mergeCell ref="H2:I2"/>
    <mergeCell ref="B32:P32"/>
    <mergeCell ref="H33:I33"/>
  </mergeCells>
  <hyperlinks>
    <hyperlink r:id="rId1" ref="B2"/>
    <hyperlink r:id="rId2" ref="B33"/>
    <hyperlink r:id="rId3" ref="Y67"/>
    <hyperlink r:id="rId4" ref="Y68"/>
    <hyperlink r:id="rId5" ref="Y69"/>
    <hyperlink r:id="rId6" ref="Y70"/>
    <hyperlink r:id="rId7" ref="Q73"/>
    <hyperlink r:id="rId8" ref="B74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75"/>
    <col customWidth="1" min="3" max="3" width="17.88"/>
    <col customWidth="1" min="4" max="4" width="15.63"/>
    <col customWidth="1" min="5" max="7" width="12.5"/>
    <col customWidth="1" min="8" max="8" width="18.13"/>
    <col customWidth="1" min="9" max="9" width="14.25"/>
    <col customWidth="1" min="10" max="10" width="14.0"/>
    <col customWidth="1" min="11" max="11" width="19.88"/>
    <col customWidth="1" min="12" max="12" width="14.13"/>
    <col customWidth="1" min="13" max="13" width="16.0"/>
    <col customWidth="1" min="14" max="14" width="14.5"/>
    <col customWidth="1" min="15" max="15" width="14.13"/>
    <col customWidth="1" min="16" max="16" width="15.63"/>
    <col customWidth="1" min="19" max="19" width="14.88"/>
    <col customWidth="1" min="21" max="21" width="23.13"/>
    <col customWidth="1" min="23" max="23" width="11.0"/>
    <col customWidth="1" min="34" max="34" width="14.88"/>
  </cols>
  <sheetData>
    <row r="1" ht="34.5" customHeight="1">
      <c r="A1" s="2" t="s">
        <v>1</v>
      </c>
      <c r="B1" s="4"/>
      <c r="AG1" s="8" t="s">
        <v>4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9"/>
      <c r="AT1" s="12"/>
    </row>
    <row r="2" ht="34.5" customHeight="1">
      <c r="A2" s="8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9"/>
      <c r="AG2" s="25" t="s">
        <v>21</v>
      </c>
      <c r="AH2" s="28" t="s">
        <v>32</v>
      </c>
      <c r="AI2" s="30" t="s">
        <v>38</v>
      </c>
      <c r="AJ2" s="7"/>
      <c r="AK2" s="7"/>
      <c r="AL2" s="9"/>
      <c r="AM2" s="30" t="s">
        <v>39</v>
      </c>
      <c r="AN2" s="7"/>
      <c r="AO2" s="7"/>
      <c r="AP2" s="9"/>
      <c r="AQ2" s="30" t="s">
        <v>42</v>
      </c>
      <c r="AR2" s="7"/>
      <c r="AS2" s="9"/>
      <c r="AT2" s="12"/>
    </row>
    <row r="3" ht="34.5" customHeight="1">
      <c r="A3" s="34" t="s">
        <v>46</v>
      </c>
      <c r="B3" s="35" t="s">
        <v>32</v>
      </c>
      <c r="C3" s="37" t="s">
        <v>38</v>
      </c>
      <c r="D3" s="7"/>
      <c r="E3" s="7"/>
      <c r="F3" s="7"/>
      <c r="G3" s="7"/>
      <c r="H3" s="37" t="s">
        <v>39</v>
      </c>
      <c r="I3" s="7"/>
      <c r="J3" s="7"/>
      <c r="K3" s="37" t="s">
        <v>42</v>
      </c>
      <c r="L3" s="7"/>
      <c r="M3" s="9"/>
      <c r="N3" s="40" t="s">
        <v>61</v>
      </c>
      <c r="O3" s="7"/>
      <c r="P3" s="9"/>
      <c r="Q3" s="42" t="s">
        <v>65</v>
      </c>
      <c r="R3" s="7"/>
      <c r="S3" s="9"/>
      <c r="T3" s="42" t="s">
        <v>66</v>
      </c>
      <c r="U3" s="7"/>
      <c r="V3" s="9"/>
      <c r="AG3" s="43"/>
      <c r="AH3" s="43"/>
      <c r="AI3" s="44" t="s">
        <v>71</v>
      </c>
      <c r="AJ3" s="46" t="s">
        <v>72</v>
      </c>
      <c r="AK3" s="49" t="s">
        <v>74</v>
      </c>
      <c r="AL3" s="49"/>
      <c r="AM3" s="44" t="s">
        <v>71</v>
      </c>
      <c r="AN3" s="46" t="s">
        <v>79</v>
      </c>
      <c r="AO3" s="50" t="s">
        <v>80</v>
      </c>
      <c r="AP3" s="50"/>
      <c r="AQ3" s="44" t="s">
        <v>71</v>
      </c>
      <c r="AR3" s="46" t="s">
        <v>72</v>
      </c>
      <c r="AS3" s="50" t="s">
        <v>74</v>
      </c>
      <c r="AT3" s="52" t="s">
        <v>84</v>
      </c>
    </row>
    <row r="4" ht="34.5" customHeight="1">
      <c r="A4" s="43"/>
      <c r="B4" s="43"/>
      <c r="C4" s="55" t="s">
        <v>71</v>
      </c>
      <c r="D4" s="55" t="s">
        <v>84</v>
      </c>
      <c r="E4" s="57" t="s">
        <v>87</v>
      </c>
      <c r="F4" s="57"/>
      <c r="G4" s="57"/>
      <c r="H4" s="55" t="s">
        <v>71</v>
      </c>
      <c r="I4" s="55" t="s">
        <v>84</v>
      </c>
      <c r="J4" s="55" t="s">
        <v>87</v>
      </c>
      <c r="K4" s="55" t="s">
        <v>71</v>
      </c>
      <c r="L4" s="55" t="s">
        <v>84</v>
      </c>
      <c r="M4" s="55" t="s">
        <v>87</v>
      </c>
      <c r="N4" s="55" t="s">
        <v>71</v>
      </c>
      <c r="O4" s="55" t="s">
        <v>84</v>
      </c>
      <c r="P4" s="55" t="s">
        <v>87</v>
      </c>
      <c r="Q4" s="55" t="s">
        <v>71</v>
      </c>
      <c r="R4" s="55" t="s">
        <v>84</v>
      </c>
      <c r="S4" s="55" t="s">
        <v>87</v>
      </c>
      <c r="T4" s="55" t="s">
        <v>71</v>
      </c>
      <c r="U4" s="55" t="s">
        <v>84</v>
      </c>
      <c r="V4" s="55" t="s">
        <v>87</v>
      </c>
      <c r="AG4" s="44">
        <v>1.0</v>
      </c>
      <c r="AH4" s="59" t="s">
        <v>93</v>
      </c>
      <c r="AI4" s="60">
        <v>45567.0</v>
      </c>
      <c r="AJ4" s="44">
        <v>696565.0</v>
      </c>
      <c r="AK4" s="62">
        <f t="shared" ref="AK4:AK20" si="1">AT4-AJ4</f>
        <v>68304</v>
      </c>
      <c r="AL4" s="62" t="b">
        <f t="shared" ref="AL4:AL7" si="2">E40=AK4</f>
        <v>0</v>
      </c>
      <c r="AM4" s="64">
        <v>45567.0</v>
      </c>
      <c r="AN4" s="44">
        <v>696565.0</v>
      </c>
      <c r="AO4" s="44">
        <f t="shared" ref="AO4:AO20" si="3">AT4-AN4</f>
        <v>68304</v>
      </c>
      <c r="AP4" s="44"/>
      <c r="AQ4" s="64">
        <v>45560.0</v>
      </c>
      <c r="AR4" s="44">
        <v>654031.0</v>
      </c>
      <c r="AS4" s="44">
        <f t="shared" ref="AS4:AS19" si="4">AT4-AR4</f>
        <v>110838</v>
      </c>
      <c r="AT4" s="52">
        <v>764869.0</v>
      </c>
    </row>
    <row r="5" ht="34.5" customHeight="1">
      <c r="A5" s="24">
        <v>1.0</v>
      </c>
      <c r="B5" s="71" t="s">
        <v>57</v>
      </c>
      <c r="C5" s="73">
        <v>46023.0</v>
      </c>
      <c r="D5" s="57">
        <v>722707.0</v>
      </c>
      <c r="E5" s="59" t="s">
        <v>112</v>
      </c>
      <c r="F5" s="74">
        <v>757646.0</v>
      </c>
      <c r="G5" s="57">
        <f t="shared" ref="G5:G31" si="5">F5-D5</f>
        <v>34939</v>
      </c>
      <c r="H5" s="73">
        <v>46023.0</v>
      </c>
      <c r="I5" s="57">
        <v>722707.0</v>
      </c>
      <c r="J5" s="59" t="s">
        <v>112</v>
      </c>
      <c r="K5" s="73">
        <v>46023.0</v>
      </c>
      <c r="L5" s="57">
        <v>722707.0</v>
      </c>
      <c r="M5" s="59" t="s">
        <v>112</v>
      </c>
      <c r="N5" s="59"/>
      <c r="O5" s="59"/>
      <c r="P5" s="59"/>
      <c r="Q5" s="59"/>
      <c r="R5" s="59"/>
      <c r="S5" s="59"/>
      <c r="T5" s="59"/>
      <c r="U5" s="59"/>
      <c r="V5" s="59"/>
      <c r="AG5" s="44">
        <v>2.0</v>
      </c>
      <c r="AH5" s="74" t="s">
        <v>120</v>
      </c>
      <c r="AI5" s="60">
        <v>45678.0</v>
      </c>
      <c r="AJ5" s="44">
        <v>667500.0</v>
      </c>
      <c r="AK5" s="62">
        <f t="shared" si="1"/>
        <v>86242</v>
      </c>
      <c r="AL5" s="62" t="b">
        <f t="shared" si="2"/>
        <v>0</v>
      </c>
      <c r="AM5" s="64">
        <v>45678.0</v>
      </c>
      <c r="AN5" s="44">
        <v>667500.0</v>
      </c>
      <c r="AO5" s="44">
        <f t="shared" si="3"/>
        <v>86242</v>
      </c>
      <c r="AP5" s="44"/>
      <c r="AQ5" s="64">
        <v>45678.0</v>
      </c>
      <c r="AR5" s="44">
        <v>625552.0</v>
      </c>
      <c r="AS5" s="44">
        <f t="shared" si="4"/>
        <v>128190</v>
      </c>
      <c r="AT5" s="52">
        <v>753742.0</v>
      </c>
    </row>
    <row r="6" ht="34.5" customHeight="1">
      <c r="A6" s="24">
        <f t="shared" ref="A6:A31" si="6">A5+1</f>
        <v>2</v>
      </c>
      <c r="B6" s="71" t="s">
        <v>104</v>
      </c>
      <c r="C6" s="73">
        <v>46025.0</v>
      </c>
      <c r="D6" s="57">
        <v>511322.0</v>
      </c>
      <c r="E6" s="59" t="s">
        <v>112</v>
      </c>
      <c r="F6" s="74">
        <v>565943.0</v>
      </c>
      <c r="G6" s="57">
        <f t="shared" si="5"/>
        <v>54621</v>
      </c>
      <c r="H6" s="73">
        <v>46025.0</v>
      </c>
      <c r="I6" s="57">
        <v>511322.0</v>
      </c>
      <c r="J6" s="59" t="s">
        <v>112</v>
      </c>
      <c r="K6" s="73">
        <v>46025.0</v>
      </c>
      <c r="L6" s="57">
        <v>511322.0</v>
      </c>
      <c r="M6" s="59" t="s">
        <v>112</v>
      </c>
      <c r="N6" s="59"/>
      <c r="O6" s="59"/>
      <c r="P6" s="59"/>
      <c r="Q6" s="59"/>
      <c r="R6" s="59"/>
      <c r="S6" s="59"/>
      <c r="T6" s="59"/>
      <c r="U6" s="59"/>
      <c r="V6" s="59"/>
      <c r="AG6" s="44">
        <v>3.0</v>
      </c>
      <c r="AH6" s="74" t="s">
        <v>127</v>
      </c>
      <c r="AI6" s="60">
        <v>45518.0</v>
      </c>
      <c r="AJ6" s="44">
        <v>612567.0</v>
      </c>
      <c r="AK6" s="62">
        <f t="shared" si="1"/>
        <v>70567</v>
      </c>
      <c r="AL6" s="62" t="b">
        <f t="shared" si="2"/>
        <v>0</v>
      </c>
      <c r="AM6" s="64">
        <v>45546.0</v>
      </c>
      <c r="AN6" s="44">
        <v>621265.0</v>
      </c>
      <c r="AO6" s="44">
        <f t="shared" si="3"/>
        <v>61869</v>
      </c>
      <c r="AP6" s="44"/>
      <c r="AQ6" s="60">
        <v>45677.0</v>
      </c>
      <c r="AR6" s="88">
        <v>658545.0</v>
      </c>
      <c r="AS6" s="44">
        <f t="shared" si="4"/>
        <v>24589</v>
      </c>
      <c r="AT6" s="52">
        <v>683134.0</v>
      </c>
    </row>
    <row r="7" ht="34.5" customHeight="1">
      <c r="A7" s="24">
        <f t="shared" si="6"/>
        <v>3</v>
      </c>
      <c r="B7" s="71" t="s">
        <v>121</v>
      </c>
      <c r="C7" s="73">
        <v>46031.0</v>
      </c>
      <c r="D7" s="57">
        <v>94101.0</v>
      </c>
      <c r="E7" s="59" t="s">
        <v>112</v>
      </c>
      <c r="F7" s="74">
        <v>142467.0</v>
      </c>
      <c r="G7" s="57">
        <f t="shared" si="5"/>
        <v>48366</v>
      </c>
      <c r="H7" s="73">
        <v>46031.0</v>
      </c>
      <c r="I7" s="57">
        <v>94101.0</v>
      </c>
      <c r="J7" s="59" t="s">
        <v>112</v>
      </c>
      <c r="K7" s="73">
        <v>46031.0</v>
      </c>
      <c r="L7" s="57">
        <v>94101.0</v>
      </c>
      <c r="M7" s="59" t="s">
        <v>112</v>
      </c>
      <c r="N7" s="89">
        <v>46048.0</v>
      </c>
      <c r="O7" s="59">
        <v>98938.0</v>
      </c>
      <c r="P7" s="59" t="s">
        <v>112</v>
      </c>
      <c r="Q7" s="89">
        <v>46048.0</v>
      </c>
      <c r="R7" s="59">
        <v>98938.0</v>
      </c>
      <c r="S7" s="59" t="s">
        <v>112</v>
      </c>
      <c r="T7" s="89"/>
      <c r="U7" s="59"/>
      <c r="V7" s="59"/>
      <c r="AG7" s="44">
        <v>4.0</v>
      </c>
      <c r="AH7" s="74" t="s">
        <v>132</v>
      </c>
      <c r="AI7" s="60">
        <v>45604.0</v>
      </c>
      <c r="AJ7" s="44">
        <v>605108.0</v>
      </c>
      <c r="AK7" s="62">
        <f t="shared" si="1"/>
        <v>76968</v>
      </c>
      <c r="AL7" s="62" t="b">
        <f t="shared" si="2"/>
        <v>0</v>
      </c>
      <c r="AM7" s="64">
        <v>45604.0</v>
      </c>
      <c r="AN7" s="44">
        <v>581879.0</v>
      </c>
      <c r="AO7" s="44">
        <f t="shared" si="3"/>
        <v>100197</v>
      </c>
      <c r="AP7" s="44"/>
      <c r="AQ7" s="90">
        <v>45637.0</v>
      </c>
      <c r="AR7" s="88">
        <v>506195.0</v>
      </c>
      <c r="AS7" s="44">
        <f t="shared" si="4"/>
        <v>175881</v>
      </c>
      <c r="AT7" s="52">
        <v>682076.0</v>
      </c>
    </row>
    <row r="8" ht="34.5" customHeight="1">
      <c r="A8" s="24">
        <f t="shared" si="6"/>
        <v>4</v>
      </c>
      <c r="B8" s="71" t="s">
        <v>120</v>
      </c>
      <c r="C8" s="73">
        <v>46031.0</v>
      </c>
      <c r="D8" s="57">
        <v>772449.0</v>
      </c>
      <c r="E8" s="59" t="s">
        <v>112</v>
      </c>
      <c r="F8" s="74">
        <v>810315.0</v>
      </c>
      <c r="G8" s="57">
        <f t="shared" si="5"/>
        <v>37866</v>
      </c>
      <c r="H8" s="91">
        <v>46031.0</v>
      </c>
      <c r="I8" s="57">
        <v>772449.0</v>
      </c>
      <c r="J8" s="59" t="s">
        <v>112</v>
      </c>
      <c r="K8" s="89">
        <v>46031.0</v>
      </c>
      <c r="L8" s="59">
        <v>772449.0</v>
      </c>
      <c r="M8" s="59" t="s">
        <v>112</v>
      </c>
      <c r="N8" s="59"/>
      <c r="O8" s="59"/>
      <c r="P8" s="59"/>
      <c r="Q8" s="59"/>
      <c r="R8" s="59"/>
      <c r="S8" s="59"/>
      <c r="T8" s="59"/>
      <c r="U8" s="59"/>
      <c r="V8" s="59"/>
      <c r="AG8" s="44">
        <v>6.0</v>
      </c>
      <c r="AH8" s="57" t="s">
        <v>121</v>
      </c>
      <c r="AI8" s="60">
        <v>45534.0</v>
      </c>
      <c r="AJ8" s="88">
        <v>564922.0</v>
      </c>
      <c r="AK8" s="62">
        <f t="shared" si="1"/>
        <v>-546433</v>
      </c>
      <c r="AL8" s="62" t="b">
        <f>E45=AK8</f>
        <v>0</v>
      </c>
      <c r="AM8" s="60">
        <v>45534.0</v>
      </c>
      <c r="AN8" s="88">
        <v>564922.0</v>
      </c>
      <c r="AO8" s="88">
        <f t="shared" si="3"/>
        <v>-546433</v>
      </c>
      <c r="AP8" s="44"/>
      <c r="AQ8" s="90">
        <v>45637.0</v>
      </c>
      <c r="AR8" s="88">
        <v>585254.0</v>
      </c>
      <c r="AS8" s="44">
        <f t="shared" si="4"/>
        <v>-566765</v>
      </c>
      <c r="AT8" s="52">
        <v>18489.0</v>
      </c>
    </row>
    <row r="9" ht="34.5" customHeight="1">
      <c r="A9" s="24">
        <f t="shared" si="6"/>
        <v>5</v>
      </c>
      <c r="B9" s="94" t="s">
        <v>136</v>
      </c>
      <c r="C9" s="73">
        <v>46056.0</v>
      </c>
      <c r="D9" s="57">
        <v>821850.0</v>
      </c>
      <c r="E9" s="59" t="s">
        <v>112</v>
      </c>
      <c r="F9" s="57">
        <v>889150.0</v>
      </c>
      <c r="G9" s="57">
        <f t="shared" si="5"/>
        <v>67300</v>
      </c>
      <c r="H9" s="73">
        <v>46056.0</v>
      </c>
      <c r="I9" s="57">
        <v>821850.0</v>
      </c>
      <c r="J9" s="59" t="s">
        <v>112</v>
      </c>
      <c r="K9" s="97">
        <v>46031.0</v>
      </c>
      <c r="L9" s="57">
        <v>816641.0</v>
      </c>
      <c r="M9" s="59" t="s">
        <v>112</v>
      </c>
      <c r="N9" s="59"/>
      <c r="O9" s="59"/>
      <c r="P9" s="59"/>
      <c r="Q9" s="59"/>
      <c r="R9" s="59"/>
      <c r="S9" s="59"/>
      <c r="T9" s="59"/>
      <c r="U9" s="59"/>
      <c r="V9" s="59"/>
      <c r="AG9" s="44">
        <v>5.0</v>
      </c>
      <c r="AH9" s="74" t="s">
        <v>104</v>
      </c>
      <c r="AI9" s="60">
        <v>45556.0</v>
      </c>
      <c r="AJ9" s="88">
        <v>376733.0</v>
      </c>
      <c r="AK9" s="62">
        <f t="shared" si="1"/>
        <v>52992</v>
      </c>
      <c r="AL9" s="62" t="b">
        <f>E44=AK9</f>
        <v>0</v>
      </c>
      <c r="AM9" s="60">
        <v>45556.0</v>
      </c>
      <c r="AN9" s="88">
        <v>376733.0</v>
      </c>
      <c r="AO9" s="88">
        <f t="shared" si="3"/>
        <v>52992</v>
      </c>
      <c r="AP9" s="44"/>
      <c r="AQ9" s="60">
        <v>45315.0</v>
      </c>
      <c r="AR9" s="88">
        <v>301230.0</v>
      </c>
      <c r="AS9" s="44">
        <f t="shared" si="4"/>
        <v>128495</v>
      </c>
      <c r="AT9" s="52">
        <v>429725.0</v>
      </c>
    </row>
    <row r="10" ht="34.5" customHeight="1">
      <c r="A10" s="24">
        <f t="shared" si="6"/>
        <v>6</v>
      </c>
      <c r="B10" s="100" t="s">
        <v>143</v>
      </c>
      <c r="C10" s="73">
        <v>46021.0</v>
      </c>
      <c r="D10" s="57">
        <v>826716.0</v>
      </c>
      <c r="E10" s="59" t="s">
        <v>112</v>
      </c>
      <c r="F10" s="57">
        <v>0.0</v>
      </c>
      <c r="G10" s="57">
        <f t="shared" si="5"/>
        <v>-826716</v>
      </c>
      <c r="H10" s="73">
        <v>46021.0</v>
      </c>
      <c r="I10" s="57">
        <v>826716.0</v>
      </c>
      <c r="J10" s="59" t="s">
        <v>112</v>
      </c>
      <c r="K10" s="73">
        <v>46021.0</v>
      </c>
      <c r="L10" s="57">
        <v>826716.0</v>
      </c>
      <c r="M10" s="59" t="s">
        <v>112</v>
      </c>
      <c r="N10" s="104">
        <v>46021.0</v>
      </c>
      <c r="O10" s="59">
        <v>826716.0</v>
      </c>
      <c r="P10" s="59" t="s">
        <v>112</v>
      </c>
      <c r="Q10" s="104">
        <v>46021.0</v>
      </c>
      <c r="R10" s="59">
        <v>826716.0</v>
      </c>
      <c r="S10" s="59" t="s">
        <v>112</v>
      </c>
      <c r="T10" s="104"/>
      <c r="U10" s="59"/>
      <c r="V10" s="59"/>
      <c r="AG10" s="44">
        <v>7.0</v>
      </c>
      <c r="AH10" s="57" t="s">
        <v>147</v>
      </c>
      <c r="AI10" s="60">
        <v>45542.0</v>
      </c>
      <c r="AJ10" s="88"/>
      <c r="AK10" s="62">
        <f t="shared" si="1"/>
        <v>823695</v>
      </c>
      <c r="AL10" s="62" t="b">
        <f t="shared" ref="AL10:AL16" si="7">V11=AK10</f>
        <v>0</v>
      </c>
      <c r="AM10" s="105"/>
      <c r="AN10" s="107"/>
      <c r="AO10" s="88">
        <f t="shared" si="3"/>
        <v>823695</v>
      </c>
      <c r="AP10" s="44"/>
      <c r="AQ10" s="60">
        <v>45736.0</v>
      </c>
      <c r="AR10" s="88">
        <v>815430.0</v>
      </c>
      <c r="AS10" s="44">
        <f t="shared" si="4"/>
        <v>8265</v>
      </c>
      <c r="AT10" s="52">
        <v>823695.0</v>
      </c>
    </row>
    <row r="11" ht="34.5" customHeight="1">
      <c r="A11" s="24">
        <f t="shared" si="6"/>
        <v>7</v>
      </c>
      <c r="B11" s="109" t="s">
        <v>155</v>
      </c>
      <c r="C11" s="73">
        <v>46070.0</v>
      </c>
      <c r="D11" s="57">
        <v>694135.0</v>
      </c>
      <c r="E11" s="59" t="s">
        <v>112</v>
      </c>
      <c r="F11" s="57">
        <v>746735.0</v>
      </c>
      <c r="G11" s="57">
        <f t="shared" si="5"/>
        <v>52600</v>
      </c>
      <c r="H11" s="73">
        <v>46070.0</v>
      </c>
      <c r="I11" s="57">
        <v>694135.0</v>
      </c>
      <c r="J11" s="59" t="s">
        <v>112</v>
      </c>
      <c r="K11" s="73">
        <v>46111.0</v>
      </c>
      <c r="L11" s="57">
        <v>709264.0</v>
      </c>
      <c r="M11" s="59" t="s">
        <v>112</v>
      </c>
      <c r="N11" s="59"/>
      <c r="O11" s="59"/>
      <c r="P11" s="59"/>
      <c r="Q11" s="59"/>
      <c r="R11" s="59"/>
      <c r="S11" s="59"/>
      <c r="T11" s="59"/>
      <c r="U11" s="59"/>
      <c r="V11" s="59"/>
      <c r="AG11" s="44">
        <v>8.0</v>
      </c>
      <c r="AH11" s="57" t="s">
        <v>57</v>
      </c>
      <c r="AI11" s="90">
        <v>45645.0</v>
      </c>
      <c r="AJ11" s="88">
        <v>604995.0</v>
      </c>
      <c r="AK11" s="62">
        <f t="shared" si="1"/>
        <v>37989</v>
      </c>
      <c r="AL11" s="62" t="b">
        <f t="shared" si="7"/>
        <v>0</v>
      </c>
      <c r="AM11" s="90">
        <v>45645.0</v>
      </c>
      <c r="AN11" s="88">
        <v>604995.0</v>
      </c>
      <c r="AO11" s="88">
        <f t="shared" si="3"/>
        <v>37989</v>
      </c>
      <c r="AP11" s="44"/>
      <c r="AQ11" s="105"/>
      <c r="AR11" s="107"/>
      <c r="AS11" s="44">
        <f t="shared" si="4"/>
        <v>642984</v>
      </c>
      <c r="AT11" s="52">
        <v>642984.0</v>
      </c>
    </row>
    <row r="12" ht="34.5" customHeight="1">
      <c r="A12" s="24">
        <f t="shared" si="6"/>
        <v>8</v>
      </c>
      <c r="B12" s="109" t="s">
        <v>159</v>
      </c>
      <c r="C12" s="73">
        <v>46057.0</v>
      </c>
      <c r="D12" s="57">
        <v>57060.0</v>
      </c>
      <c r="E12" s="59" t="s">
        <v>112</v>
      </c>
      <c r="F12" s="57">
        <v>0.0</v>
      </c>
      <c r="G12" s="57">
        <f t="shared" si="5"/>
        <v>-57060</v>
      </c>
      <c r="H12" s="73">
        <v>46057.0</v>
      </c>
      <c r="I12" s="57">
        <v>57060.0</v>
      </c>
      <c r="J12" s="59" t="s">
        <v>112</v>
      </c>
      <c r="K12" s="73">
        <v>46057.0</v>
      </c>
      <c r="L12" s="57">
        <v>57060.0</v>
      </c>
      <c r="M12" s="59" t="s">
        <v>112</v>
      </c>
      <c r="N12" s="59"/>
      <c r="O12" s="59"/>
      <c r="P12" s="59"/>
      <c r="Q12" s="59"/>
      <c r="R12" s="59"/>
      <c r="S12" s="59"/>
      <c r="T12" s="59"/>
      <c r="U12" s="59"/>
      <c r="V12" s="59"/>
      <c r="AG12" s="44">
        <v>9.0</v>
      </c>
      <c r="AH12" s="57" t="s">
        <v>160</v>
      </c>
      <c r="AI12" s="90">
        <v>45583.0</v>
      </c>
      <c r="AJ12" s="88">
        <v>745047.0</v>
      </c>
      <c r="AK12" s="62">
        <f t="shared" si="1"/>
        <v>48842</v>
      </c>
      <c r="AL12" s="62" t="b">
        <f t="shared" si="7"/>
        <v>0</v>
      </c>
      <c r="AM12" s="90">
        <v>45583.0</v>
      </c>
      <c r="AN12" s="88">
        <v>745047.0</v>
      </c>
      <c r="AO12" s="88">
        <f t="shared" si="3"/>
        <v>48842</v>
      </c>
      <c r="AP12" s="44"/>
      <c r="AQ12" s="90">
        <v>45647.0</v>
      </c>
      <c r="AR12" s="88">
        <v>760885.0</v>
      </c>
      <c r="AS12" s="44">
        <f t="shared" si="4"/>
        <v>33004</v>
      </c>
      <c r="AT12" s="52">
        <v>793889.0</v>
      </c>
    </row>
    <row r="13" ht="34.5" customHeight="1">
      <c r="A13" s="24">
        <f t="shared" si="6"/>
        <v>9</v>
      </c>
      <c r="B13" s="57" t="s">
        <v>160</v>
      </c>
      <c r="C13" s="73">
        <v>46014.0</v>
      </c>
      <c r="D13" s="57">
        <v>867887.0</v>
      </c>
      <c r="E13" s="59" t="s">
        <v>112</v>
      </c>
      <c r="F13" s="57">
        <v>0.0</v>
      </c>
      <c r="G13" s="57">
        <f t="shared" si="5"/>
        <v>-867887</v>
      </c>
      <c r="H13" s="73">
        <v>46014.0</v>
      </c>
      <c r="I13" s="57">
        <v>867887.0</v>
      </c>
      <c r="J13" s="59" t="s">
        <v>112</v>
      </c>
      <c r="K13" s="57"/>
      <c r="L13" s="57"/>
      <c r="M13" s="59"/>
      <c r="N13" s="104">
        <v>46020.0</v>
      </c>
      <c r="O13" s="59">
        <v>867887.0</v>
      </c>
      <c r="P13" s="59" t="s">
        <v>112</v>
      </c>
      <c r="Q13" s="104">
        <v>46020.0</v>
      </c>
      <c r="R13" s="59">
        <v>867887.0</v>
      </c>
      <c r="S13" s="59" t="s">
        <v>112</v>
      </c>
      <c r="T13" s="104"/>
      <c r="U13" s="59"/>
      <c r="V13" s="59"/>
      <c r="AG13" s="44">
        <v>10.0</v>
      </c>
      <c r="AH13" s="74" t="s">
        <v>136</v>
      </c>
      <c r="AI13" s="60">
        <v>45561.0</v>
      </c>
      <c r="AJ13" s="88">
        <v>673029.0</v>
      </c>
      <c r="AK13" s="62">
        <f t="shared" si="1"/>
        <v>62083</v>
      </c>
      <c r="AL13" s="62" t="b">
        <f t="shared" si="7"/>
        <v>0</v>
      </c>
      <c r="AM13" s="60">
        <v>45561.0</v>
      </c>
      <c r="AN13" s="88">
        <v>673029.0</v>
      </c>
      <c r="AO13" s="88">
        <f t="shared" si="3"/>
        <v>62083</v>
      </c>
      <c r="AP13" s="44"/>
      <c r="AQ13" s="105"/>
      <c r="AR13" s="107"/>
      <c r="AS13" s="44">
        <f t="shared" si="4"/>
        <v>735112</v>
      </c>
      <c r="AT13" s="52">
        <v>735112.0</v>
      </c>
    </row>
    <row r="14" ht="34.5" customHeight="1">
      <c r="A14" s="24">
        <f t="shared" si="6"/>
        <v>10</v>
      </c>
      <c r="B14" s="57" t="s">
        <v>93</v>
      </c>
      <c r="C14" s="73">
        <v>46003.0</v>
      </c>
      <c r="D14" s="57">
        <v>821488.0</v>
      </c>
      <c r="E14" s="59" t="s">
        <v>112</v>
      </c>
      <c r="F14" s="57">
        <v>0.0</v>
      </c>
      <c r="G14" s="57">
        <f t="shared" si="5"/>
        <v>-821488</v>
      </c>
      <c r="H14" s="91">
        <v>46003.0</v>
      </c>
      <c r="I14" s="57">
        <v>821488.0</v>
      </c>
      <c r="J14" s="59" t="s">
        <v>112</v>
      </c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AG14" s="88">
        <v>11.0</v>
      </c>
      <c r="AH14" s="57" t="s">
        <v>168</v>
      </c>
      <c r="AI14" s="90">
        <v>45645.0</v>
      </c>
      <c r="AJ14" s="88">
        <v>158013.0</v>
      </c>
      <c r="AK14" s="62">
        <f t="shared" si="1"/>
        <v>35946</v>
      </c>
      <c r="AL14" s="62" t="b">
        <f t="shared" si="7"/>
        <v>0</v>
      </c>
      <c r="AM14" s="90">
        <v>45645.0</v>
      </c>
      <c r="AN14" s="88">
        <v>158013.0</v>
      </c>
      <c r="AO14" s="88">
        <f t="shared" si="3"/>
        <v>35946</v>
      </c>
      <c r="AP14" s="44"/>
      <c r="AQ14" s="105"/>
      <c r="AR14" s="107"/>
      <c r="AS14" s="44">
        <f t="shared" si="4"/>
        <v>193959</v>
      </c>
      <c r="AT14" s="52">
        <v>193959.0</v>
      </c>
    </row>
    <row r="15" ht="34.5" customHeight="1">
      <c r="A15" s="24">
        <f t="shared" si="6"/>
        <v>11</v>
      </c>
      <c r="B15" s="57" t="s">
        <v>132</v>
      </c>
      <c r="C15" s="73">
        <v>46049.0</v>
      </c>
      <c r="D15" s="57">
        <v>705903.0</v>
      </c>
      <c r="E15" s="59" t="s">
        <v>112</v>
      </c>
      <c r="F15" s="57">
        <v>0.0</v>
      </c>
      <c r="G15" s="57">
        <f t="shared" si="5"/>
        <v>-705903</v>
      </c>
      <c r="H15" s="91">
        <v>46049.0</v>
      </c>
      <c r="I15" s="59">
        <v>705903.0</v>
      </c>
      <c r="J15" s="59" t="s">
        <v>112</v>
      </c>
      <c r="K15" s="97">
        <v>46169.0</v>
      </c>
      <c r="L15" s="57">
        <v>705903.0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AG15" s="88">
        <v>12.0</v>
      </c>
      <c r="AH15" s="113" t="s">
        <v>143</v>
      </c>
      <c r="AI15" s="105"/>
      <c r="AJ15" s="107"/>
      <c r="AK15" s="62">
        <f t="shared" si="1"/>
        <v>741336</v>
      </c>
      <c r="AL15" s="62" t="b">
        <f t="shared" si="7"/>
        <v>0</v>
      </c>
      <c r="AM15" s="60">
        <v>45572.0</v>
      </c>
      <c r="AN15" s="88">
        <v>692907.0</v>
      </c>
      <c r="AO15" s="88">
        <f t="shared" si="3"/>
        <v>48429</v>
      </c>
      <c r="AP15" s="44"/>
      <c r="AQ15" s="105"/>
      <c r="AR15" s="88">
        <v>655783.0</v>
      </c>
      <c r="AS15" s="44">
        <f t="shared" si="4"/>
        <v>85553</v>
      </c>
      <c r="AT15" s="52">
        <v>741336.0</v>
      </c>
    </row>
    <row r="16" ht="34.5" customHeight="1">
      <c r="A16" s="24">
        <f t="shared" si="6"/>
        <v>12</v>
      </c>
      <c r="B16" s="57" t="s">
        <v>127</v>
      </c>
      <c r="C16" s="73">
        <v>46056.0</v>
      </c>
      <c r="D16" s="57">
        <v>753130.0</v>
      </c>
      <c r="E16" s="59" t="s">
        <v>112</v>
      </c>
      <c r="F16" s="57">
        <v>0.0</v>
      </c>
      <c r="G16" s="57">
        <f t="shared" si="5"/>
        <v>-753130</v>
      </c>
      <c r="H16" s="91">
        <v>46056.0</v>
      </c>
      <c r="I16" s="57">
        <v>753130.0</v>
      </c>
      <c r="J16" s="59" t="s">
        <v>112</v>
      </c>
      <c r="K16" s="97">
        <v>46056.0</v>
      </c>
      <c r="L16" s="57">
        <v>753130.0</v>
      </c>
      <c r="M16" s="59" t="s">
        <v>112</v>
      </c>
      <c r="N16" s="59"/>
      <c r="O16" s="59"/>
      <c r="P16" s="59"/>
      <c r="Q16" s="59"/>
      <c r="R16" s="59"/>
      <c r="S16" s="59"/>
      <c r="T16" s="59"/>
      <c r="U16" s="59"/>
      <c r="V16" s="59"/>
      <c r="AG16" s="88">
        <v>13.0</v>
      </c>
      <c r="AH16" s="115" t="s">
        <v>155</v>
      </c>
      <c r="AI16" s="60">
        <v>45562.0</v>
      </c>
      <c r="AJ16" s="88">
        <v>482424.0</v>
      </c>
      <c r="AK16" s="62">
        <f t="shared" si="1"/>
        <v>124295</v>
      </c>
      <c r="AL16" s="62" t="b">
        <f t="shared" si="7"/>
        <v>0</v>
      </c>
      <c r="AM16" s="60">
        <v>45562.0</v>
      </c>
      <c r="AN16" s="88">
        <v>482424.0</v>
      </c>
      <c r="AO16" s="88">
        <f t="shared" si="3"/>
        <v>124295</v>
      </c>
      <c r="AP16" s="44"/>
      <c r="AQ16" s="60">
        <v>45562.0</v>
      </c>
      <c r="AR16" s="88">
        <v>482424.0</v>
      </c>
      <c r="AS16" s="44">
        <f t="shared" si="4"/>
        <v>124295</v>
      </c>
      <c r="AT16" s="52">
        <v>606719.0</v>
      </c>
    </row>
    <row r="17" ht="34.5" customHeight="1">
      <c r="A17" s="24">
        <f t="shared" si="6"/>
        <v>13</v>
      </c>
      <c r="B17" s="57" t="s">
        <v>147</v>
      </c>
      <c r="C17" s="73">
        <v>46041.0</v>
      </c>
      <c r="D17" s="57">
        <v>903848.0</v>
      </c>
      <c r="E17" s="59" t="s">
        <v>112</v>
      </c>
      <c r="F17" s="57">
        <v>0.0</v>
      </c>
      <c r="G17" s="57">
        <f t="shared" si="5"/>
        <v>-903848</v>
      </c>
      <c r="H17" s="73">
        <v>46009.0</v>
      </c>
      <c r="I17" s="57">
        <v>896500.0</v>
      </c>
      <c r="J17" s="59" t="s">
        <v>112</v>
      </c>
      <c r="K17" s="57"/>
      <c r="L17" s="57"/>
      <c r="M17" s="59"/>
      <c r="N17" s="104">
        <v>46020.0</v>
      </c>
      <c r="O17" s="59">
        <v>896500.0</v>
      </c>
      <c r="P17" s="59" t="s">
        <v>112</v>
      </c>
      <c r="Q17" s="104">
        <v>46020.0</v>
      </c>
      <c r="R17" s="59">
        <v>896500.0</v>
      </c>
      <c r="S17" s="59" t="s">
        <v>112</v>
      </c>
      <c r="T17" s="104"/>
      <c r="U17" s="59"/>
      <c r="V17" s="59"/>
      <c r="AG17" s="88">
        <v>14.0</v>
      </c>
      <c r="AH17" s="118" t="s">
        <v>159</v>
      </c>
      <c r="AI17" s="60">
        <v>45555.0</v>
      </c>
      <c r="AJ17" s="88">
        <v>144411.0</v>
      </c>
      <c r="AK17" s="62">
        <f t="shared" si="1"/>
        <v>54478</v>
      </c>
      <c r="AL17" s="62" t="b">
        <f>V21=AK17</f>
        <v>0</v>
      </c>
      <c r="AM17" s="105"/>
      <c r="AN17" s="107"/>
      <c r="AO17" s="88">
        <f t="shared" si="3"/>
        <v>198889</v>
      </c>
      <c r="AP17" s="44"/>
      <c r="AQ17" s="60">
        <v>45749.0</v>
      </c>
      <c r="AR17" s="88">
        <v>196178.0</v>
      </c>
      <c r="AS17" s="44">
        <f t="shared" si="4"/>
        <v>2711</v>
      </c>
      <c r="AT17" s="52">
        <v>198889.0</v>
      </c>
    </row>
    <row r="18" ht="34.5" customHeight="1">
      <c r="A18" s="24">
        <f t="shared" si="6"/>
        <v>14</v>
      </c>
      <c r="B18" s="57" t="s">
        <v>168</v>
      </c>
      <c r="C18" s="73">
        <v>45897.0</v>
      </c>
      <c r="D18" s="57">
        <v>240289.0</v>
      </c>
      <c r="E18" s="57" t="s">
        <v>176</v>
      </c>
      <c r="F18" s="57">
        <v>0.0</v>
      </c>
      <c r="G18" s="57">
        <f t="shared" si="5"/>
        <v>-240289</v>
      </c>
      <c r="H18" s="73">
        <v>45897.0</v>
      </c>
      <c r="I18" s="57">
        <v>240289.0</v>
      </c>
      <c r="J18" s="57" t="s">
        <v>176</v>
      </c>
      <c r="K18" s="97">
        <v>45856.0</v>
      </c>
      <c r="L18" s="57">
        <v>227860.0</v>
      </c>
      <c r="M18" s="59" t="s">
        <v>112</v>
      </c>
      <c r="N18" s="124" t="s">
        <v>179</v>
      </c>
      <c r="O18" s="59">
        <v>288425.0</v>
      </c>
      <c r="P18" s="59" t="s">
        <v>112</v>
      </c>
      <c r="Q18" s="89">
        <v>46048.0</v>
      </c>
      <c r="R18" s="59">
        <v>288425.0</v>
      </c>
      <c r="S18" s="59" t="s">
        <v>112</v>
      </c>
      <c r="T18" s="104"/>
      <c r="U18" s="59"/>
      <c r="V18" s="59"/>
      <c r="AG18" s="88">
        <v>15.0</v>
      </c>
      <c r="AH18" s="115" t="s">
        <v>181</v>
      </c>
      <c r="AI18" s="105"/>
      <c r="AJ18" s="107"/>
      <c r="AK18" s="62">
        <f t="shared" si="1"/>
        <v>55745</v>
      </c>
      <c r="AL18" s="62" t="b">
        <f t="shared" ref="AL18:AL19" si="8">V19=AK18</f>
        <v>0</v>
      </c>
      <c r="AM18" s="105"/>
      <c r="AN18" s="105"/>
      <c r="AO18" s="88">
        <f t="shared" si="3"/>
        <v>55745</v>
      </c>
      <c r="AP18" s="44"/>
      <c r="AQ18" s="105"/>
      <c r="AR18" s="107"/>
      <c r="AS18" s="44">
        <f t="shared" si="4"/>
        <v>55745</v>
      </c>
      <c r="AT18" s="52">
        <v>55745.0</v>
      </c>
    </row>
    <row r="19" ht="34.5" customHeight="1">
      <c r="A19" s="24">
        <f t="shared" si="6"/>
        <v>15</v>
      </c>
      <c r="B19" s="130" t="s">
        <v>181</v>
      </c>
      <c r="C19" s="73">
        <v>46076.0</v>
      </c>
      <c r="D19" s="57">
        <v>164100.0</v>
      </c>
      <c r="E19" s="57" t="s">
        <v>176</v>
      </c>
      <c r="F19" s="57">
        <v>231973.0</v>
      </c>
      <c r="G19" s="57">
        <f t="shared" si="5"/>
        <v>67873</v>
      </c>
      <c r="H19" s="73">
        <v>46076.0</v>
      </c>
      <c r="I19" s="57">
        <v>164100.0</v>
      </c>
      <c r="J19" s="57" t="s">
        <v>176</v>
      </c>
      <c r="K19" s="97">
        <v>46115.0</v>
      </c>
      <c r="L19" s="57">
        <v>180218.0</v>
      </c>
      <c r="M19" s="59"/>
      <c r="N19" s="89">
        <v>46084.0</v>
      </c>
      <c r="O19" s="59">
        <v>166682.0</v>
      </c>
      <c r="P19" s="59" t="s">
        <v>176</v>
      </c>
      <c r="Q19" s="59"/>
      <c r="R19" s="59"/>
      <c r="S19" s="59"/>
      <c r="T19" s="59"/>
      <c r="U19" s="59"/>
      <c r="V19" s="59"/>
      <c r="AG19" s="88">
        <v>16.0</v>
      </c>
      <c r="AH19" s="115" t="s">
        <v>187</v>
      </c>
      <c r="AI19" s="133"/>
      <c r="AJ19" s="107"/>
      <c r="AK19" s="62">
        <f t="shared" si="1"/>
        <v>51493</v>
      </c>
      <c r="AL19" s="62" t="b">
        <f t="shared" si="8"/>
        <v>0</v>
      </c>
      <c r="AM19" s="105"/>
      <c r="AN19" s="105"/>
      <c r="AO19" s="88">
        <f t="shared" si="3"/>
        <v>51493</v>
      </c>
      <c r="AP19" s="44"/>
      <c r="AQ19" s="105"/>
      <c r="AR19" s="107"/>
      <c r="AS19" s="44">
        <f t="shared" si="4"/>
        <v>51493</v>
      </c>
      <c r="AT19" s="52">
        <v>51493.0</v>
      </c>
    </row>
    <row r="20" ht="34.5" customHeight="1">
      <c r="A20" s="55">
        <f t="shared" si="6"/>
        <v>16</v>
      </c>
      <c r="B20" s="57" t="s">
        <v>190</v>
      </c>
      <c r="C20" s="73">
        <v>46092.0</v>
      </c>
      <c r="D20" s="57">
        <v>162989.0</v>
      </c>
      <c r="E20" s="57" t="s">
        <v>176</v>
      </c>
      <c r="F20" s="57">
        <v>220734.0</v>
      </c>
      <c r="G20" s="57">
        <f t="shared" si="5"/>
        <v>57745</v>
      </c>
      <c r="H20" s="73">
        <v>46092.0</v>
      </c>
      <c r="I20" s="57">
        <v>162989.0</v>
      </c>
      <c r="J20" s="57" t="s">
        <v>176</v>
      </c>
      <c r="K20" s="97">
        <v>46116.0</v>
      </c>
      <c r="L20" s="57">
        <v>171629.0</v>
      </c>
      <c r="M20" s="59"/>
      <c r="N20" s="89">
        <v>46092.0</v>
      </c>
      <c r="O20" s="59">
        <v>162989.0</v>
      </c>
      <c r="P20" s="59" t="s">
        <v>176</v>
      </c>
      <c r="Q20" s="59"/>
      <c r="R20" s="59"/>
      <c r="S20" s="59"/>
      <c r="T20" s="59"/>
      <c r="U20" s="59"/>
      <c r="V20" s="59"/>
      <c r="AG20" s="107"/>
      <c r="AH20" s="109"/>
      <c r="AI20" s="133"/>
      <c r="AJ20" s="107"/>
      <c r="AK20" s="62">
        <f t="shared" si="1"/>
        <v>0</v>
      </c>
      <c r="AL20" s="62"/>
      <c r="AM20" s="133"/>
      <c r="AN20" s="107"/>
      <c r="AO20" s="88">
        <f t="shared" si="3"/>
        <v>0</v>
      </c>
      <c r="AP20" s="44"/>
      <c r="AQ20" s="105"/>
      <c r="AR20" s="107"/>
      <c r="AS20" s="136"/>
      <c r="AT20" s="12"/>
    </row>
    <row r="21" ht="34.5" customHeight="1">
      <c r="A21" s="55">
        <f t="shared" si="6"/>
        <v>17</v>
      </c>
      <c r="B21" s="57" t="s">
        <v>168</v>
      </c>
      <c r="C21" s="89">
        <v>46171.0</v>
      </c>
      <c r="D21" s="59">
        <v>324020.0</v>
      </c>
      <c r="E21" s="59" t="s">
        <v>176</v>
      </c>
      <c r="F21" s="59">
        <v>357210.0</v>
      </c>
      <c r="G21" s="57">
        <f t="shared" si="5"/>
        <v>33190</v>
      </c>
      <c r="H21" s="89">
        <v>46171.0</v>
      </c>
      <c r="I21" s="59">
        <v>324020.0</v>
      </c>
      <c r="J21" s="59" t="s">
        <v>176</v>
      </c>
      <c r="K21" s="59"/>
      <c r="L21" s="59"/>
      <c r="M21" s="59"/>
      <c r="N21" s="89">
        <v>46188.0</v>
      </c>
      <c r="O21" s="59">
        <v>330006.0</v>
      </c>
      <c r="P21" s="59" t="s">
        <v>176</v>
      </c>
      <c r="Q21" s="59"/>
      <c r="R21" s="59"/>
      <c r="S21" s="59"/>
      <c r="T21" s="89">
        <v>46189.0</v>
      </c>
      <c r="U21" s="59">
        <v>330006.0</v>
      </c>
      <c r="V21" s="59" t="s">
        <v>176</v>
      </c>
      <c r="AG21" s="107"/>
      <c r="AH21" s="107"/>
      <c r="AI21" s="133"/>
      <c r="AJ21" s="136"/>
      <c r="AK21" s="62"/>
      <c r="AL21" s="62"/>
      <c r="AM21" s="139"/>
      <c r="AN21" s="136"/>
      <c r="AO21" s="44"/>
      <c r="AP21" s="44"/>
      <c r="AQ21" s="139"/>
      <c r="AR21" s="136"/>
      <c r="AS21" s="136"/>
      <c r="AT21" s="12"/>
    </row>
    <row r="22" ht="34.5" customHeight="1">
      <c r="A22" s="24">
        <f t="shared" si="6"/>
        <v>18</v>
      </c>
      <c r="B22" s="57" t="s">
        <v>160</v>
      </c>
      <c r="C22" s="89">
        <v>46228.0</v>
      </c>
      <c r="D22" s="59">
        <v>941185.0</v>
      </c>
      <c r="E22" s="59" t="s">
        <v>112</v>
      </c>
      <c r="F22" s="59">
        <v>958073.0</v>
      </c>
      <c r="G22" s="57">
        <f t="shared" si="5"/>
        <v>16888</v>
      </c>
      <c r="H22" s="89">
        <v>46218.0</v>
      </c>
      <c r="I22" s="59">
        <v>941185.0</v>
      </c>
      <c r="J22" s="59" t="s">
        <v>112</v>
      </c>
      <c r="K22" s="59"/>
      <c r="L22" s="59"/>
      <c r="M22" s="59"/>
      <c r="N22" s="89">
        <v>46228.0</v>
      </c>
      <c r="O22" s="59">
        <v>941185.0</v>
      </c>
      <c r="P22" s="59" t="s">
        <v>112</v>
      </c>
      <c r="Q22" s="59"/>
      <c r="R22" s="59"/>
      <c r="S22" s="59"/>
      <c r="T22" s="89">
        <v>46228.0</v>
      </c>
      <c r="U22" s="59">
        <v>941185.0</v>
      </c>
      <c r="V22" s="59" t="s">
        <v>112</v>
      </c>
      <c r="AG22" s="107"/>
      <c r="AH22" s="107"/>
      <c r="AI22" s="133"/>
      <c r="AJ22" s="136"/>
      <c r="AK22" s="62"/>
      <c r="AL22" s="62"/>
      <c r="AM22" s="139"/>
      <c r="AN22" s="136"/>
      <c r="AO22" s="44"/>
      <c r="AP22" s="44"/>
      <c r="AQ22" s="139"/>
      <c r="AR22" s="136"/>
      <c r="AS22" s="136"/>
      <c r="AT22" s="12"/>
    </row>
    <row r="23" ht="34.5" customHeight="1">
      <c r="A23" s="24">
        <f t="shared" si="6"/>
        <v>19</v>
      </c>
      <c r="B23" s="57" t="s">
        <v>143</v>
      </c>
      <c r="C23" s="89">
        <v>46224.0</v>
      </c>
      <c r="D23" s="59">
        <v>892859.0</v>
      </c>
      <c r="E23" s="59" t="s">
        <v>112</v>
      </c>
      <c r="F23" s="59">
        <v>909716.0</v>
      </c>
      <c r="G23" s="57">
        <f t="shared" si="5"/>
        <v>16857</v>
      </c>
      <c r="H23" s="89">
        <v>46224.0</v>
      </c>
      <c r="I23" s="59">
        <v>892859.0</v>
      </c>
      <c r="J23" s="59" t="s">
        <v>112</v>
      </c>
      <c r="K23" s="89">
        <v>46224.0</v>
      </c>
      <c r="L23" s="59">
        <v>892859.0</v>
      </c>
      <c r="M23" s="59" t="s">
        <v>112</v>
      </c>
      <c r="N23" s="59"/>
      <c r="O23" s="59"/>
      <c r="P23" s="59"/>
      <c r="Q23" s="59"/>
      <c r="R23" s="59"/>
      <c r="S23" s="59"/>
      <c r="T23" s="59"/>
      <c r="U23" s="59"/>
      <c r="V23" s="59"/>
      <c r="AG23" s="107"/>
      <c r="AH23" s="107"/>
      <c r="AI23" s="133"/>
      <c r="AJ23" s="136"/>
      <c r="AK23" s="62"/>
      <c r="AL23" s="62"/>
      <c r="AM23" s="139"/>
      <c r="AN23" s="136"/>
      <c r="AO23" s="44"/>
      <c r="AP23" s="44"/>
      <c r="AQ23" s="139"/>
      <c r="AR23" s="136"/>
      <c r="AS23" s="136"/>
      <c r="AT23" s="12"/>
    </row>
    <row r="24" ht="34.5" customHeight="1">
      <c r="A24" s="24">
        <f t="shared" si="6"/>
        <v>20</v>
      </c>
      <c r="B24" s="57" t="s">
        <v>132</v>
      </c>
      <c r="C24" s="89">
        <v>46223.0</v>
      </c>
      <c r="D24" s="59">
        <v>11870.0</v>
      </c>
      <c r="E24" s="59" t="s">
        <v>112</v>
      </c>
      <c r="F24" s="59"/>
      <c r="G24" s="57">
        <f t="shared" si="5"/>
        <v>-11870</v>
      </c>
      <c r="H24" s="89">
        <v>46223.0</v>
      </c>
      <c r="I24" s="59">
        <v>11870.0</v>
      </c>
      <c r="J24" s="59" t="s">
        <v>112</v>
      </c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AG24" s="107"/>
      <c r="AH24" s="107"/>
      <c r="AI24" s="133"/>
      <c r="AJ24" s="136"/>
      <c r="AK24" s="62"/>
      <c r="AL24" s="62"/>
      <c r="AM24" s="139"/>
      <c r="AN24" s="136"/>
      <c r="AO24" s="44"/>
      <c r="AP24" s="44"/>
      <c r="AQ24" s="139"/>
      <c r="AR24" s="136"/>
      <c r="AS24" s="136"/>
      <c r="AT24" s="12"/>
    </row>
    <row r="25" ht="34.5" customHeight="1">
      <c r="A25" s="24">
        <f t="shared" si="6"/>
        <v>21</v>
      </c>
      <c r="B25" s="57" t="s">
        <v>147</v>
      </c>
      <c r="C25" s="89">
        <v>46235.0</v>
      </c>
      <c r="D25" s="59">
        <v>967070.0</v>
      </c>
      <c r="E25" s="59" t="s">
        <v>112</v>
      </c>
      <c r="F25" s="59"/>
      <c r="G25" s="57">
        <f t="shared" si="5"/>
        <v>-967070</v>
      </c>
      <c r="H25" s="89">
        <v>46235.0</v>
      </c>
      <c r="I25" s="59">
        <v>967070.0</v>
      </c>
      <c r="J25" s="59" t="s">
        <v>112</v>
      </c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AG25" s="107"/>
      <c r="AH25" s="107"/>
      <c r="AI25" s="133"/>
      <c r="AJ25" s="136"/>
      <c r="AK25" s="62"/>
      <c r="AL25" s="62"/>
      <c r="AM25" s="139"/>
      <c r="AN25" s="136"/>
      <c r="AO25" s="44"/>
      <c r="AP25" s="44"/>
      <c r="AQ25" s="139"/>
      <c r="AR25" s="136"/>
      <c r="AS25" s="136"/>
      <c r="AT25" s="12"/>
    </row>
    <row r="26" ht="34.5" customHeight="1">
      <c r="A26" s="24">
        <f t="shared" si="6"/>
        <v>22</v>
      </c>
      <c r="B26" s="57" t="s">
        <v>159</v>
      </c>
      <c r="C26" s="89">
        <v>46241.0</v>
      </c>
      <c r="D26" s="59">
        <v>113676.0</v>
      </c>
      <c r="E26" s="59" t="s">
        <v>112</v>
      </c>
      <c r="F26" s="59">
        <v>122752.0</v>
      </c>
      <c r="G26" s="57">
        <f t="shared" si="5"/>
        <v>9076</v>
      </c>
      <c r="H26" s="89">
        <v>46241.0</v>
      </c>
      <c r="I26" s="59">
        <v>113676.0</v>
      </c>
      <c r="J26" s="59" t="s">
        <v>112</v>
      </c>
      <c r="K26" s="59"/>
      <c r="L26" s="59"/>
      <c r="M26" s="59"/>
      <c r="N26" s="89">
        <v>46241.0</v>
      </c>
      <c r="O26" s="59">
        <v>113676.0</v>
      </c>
      <c r="P26" s="59" t="s">
        <v>112</v>
      </c>
      <c r="Q26" s="89">
        <v>46241.0</v>
      </c>
      <c r="R26" s="59">
        <v>113676.0</v>
      </c>
      <c r="S26" s="59" t="s">
        <v>112</v>
      </c>
      <c r="T26" s="59"/>
      <c r="U26" s="59"/>
      <c r="V26" s="59"/>
      <c r="AG26" s="107"/>
      <c r="AH26" s="107"/>
      <c r="AI26" s="133"/>
      <c r="AJ26" s="136"/>
      <c r="AK26" s="62"/>
      <c r="AL26" s="62"/>
      <c r="AM26" s="139"/>
      <c r="AN26" s="136"/>
      <c r="AO26" s="44"/>
      <c r="AP26" s="44"/>
      <c r="AQ26" s="139"/>
      <c r="AR26" s="136"/>
      <c r="AS26" s="136"/>
      <c r="AT26" s="12"/>
    </row>
    <row r="27" ht="34.5" customHeight="1">
      <c r="A27" s="24">
        <f t="shared" si="6"/>
        <v>23</v>
      </c>
      <c r="B27" s="57" t="s">
        <v>93</v>
      </c>
      <c r="C27" s="89">
        <v>46253.0</v>
      </c>
      <c r="D27" s="59">
        <v>891110.0</v>
      </c>
      <c r="E27" s="59" t="s">
        <v>112</v>
      </c>
      <c r="F27" s="59">
        <v>897870.0</v>
      </c>
      <c r="G27" s="57">
        <f t="shared" si="5"/>
        <v>6760</v>
      </c>
      <c r="H27" s="89">
        <v>46253.0</v>
      </c>
      <c r="I27" s="59">
        <v>891110.0</v>
      </c>
      <c r="J27" s="59" t="s">
        <v>112</v>
      </c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AG27" s="107"/>
      <c r="AH27" s="107"/>
      <c r="AI27" s="133"/>
      <c r="AJ27" s="136"/>
      <c r="AK27" s="62"/>
      <c r="AL27" s="62"/>
      <c r="AM27" s="139"/>
      <c r="AN27" s="136"/>
      <c r="AO27" s="44"/>
      <c r="AP27" s="44"/>
      <c r="AQ27" s="139"/>
      <c r="AR27" s="136"/>
      <c r="AS27" s="136"/>
      <c r="AT27" s="12"/>
    </row>
    <row r="28" ht="34.5" customHeight="1">
      <c r="A28" s="24">
        <f t="shared" si="6"/>
        <v>24</v>
      </c>
      <c r="B28" s="57" t="s">
        <v>127</v>
      </c>
      <c r="C28" s="89">
        <v>46247.0</v>
      </c>
      <c r="D28" s="59">
        <v>815430.0</v>
      </c>
      <c r="E28" s="59" t="s">
        <v>112</v>
      </c>
      <c r="F28" s="59">
        <v>820308.0</v>
      </c>
      <c r="G28" s="57">
        <f t="shared" si="5"/>
        <v>4878</v>
      </c>
      <c r="H28" s="89">
        <v>46247.0</v>
      </c>
      <c r="I28" s="59">
        <v>815430.0</v>
      </c>
      <c r="J28" s="59" t="s">
        <v>112</v>
      </c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AG28" s="107"/>
      <c r="AH28" s="107"/>
      <c r="AI28" s="133"/>
      <c r="AJ28" s="136"/>
      <c r="AK28" s="62"/>
      <c r="AL28" s="62"/>
      <c r="AM28" s="139"/>
      <c r="AN28" s="136"/>
      <c r="AO28" s="44"/>
      <c r="AP28" s="44"/>
      <c r="AQ28" s="139"/>
      <c r="AR28" s="136"/>
      <c r="AS28" s="136"/>
      <c r="AT28" s="12"/>
    </row>
    <row r="29" ht="34.5" customHeight="1">
      <c r="A29" s="24">
        <f t="shared" si="6"/>
        <v>25</v>
      </c>
      <c r="B29" s="57" t="s">
        <v>168</v>
      </c>
      <c r="C29" s="89">
        <v>46171.0</v>
      </c>
      <c r="D29" s="59">
        <v>324020.0</v>
      </c>
      <c r="E29" s="59" t="s">
        <v>176</v>
      </c>
      <c r="F29" s="59">
        <v>357210.0</v>
      </c>
      <c r="G29" s="57">
        <f t="shared" si="5"/>
        <v>33190</v>
      </c>
      <c r="H29" s="89">
        <v>46171.0</v>
      </c>
      <c r="I29" s="59">
        <v>324020.0</v>
      </c>
      <c r="J29" s="59" t="s">
        <v>176</v>
      </c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AG29" s="107"/>
      <c r="AH29" s="107"/>
      <c r="AI29" s="133"/>
      <c r="AJ29" s="136"/>
      <c r="AK29" s="62"/>
      <c r="AL29" s="62"/>
      <c r="AM29" s="139"/>
      <c r="AN29" s="136"/>
      <c r="AO29" s="44"/>
      <c r="AP29" s="44"/>
      <c r="AQ29" s="139"/>
      <c r="AR29" s="136"/>
      <c r="AS29" s="136"/>
      <c r="AT29" s="12"/>
    </row>
    <row r="30" ht="34.5" customHeight="1">
      <c r="A30" s="24">
        <f t="shared" si="6"/>
        <v>26</v>
      </c>
      <c r="B30" s="57" t="s">
        <v>155</v>
      </c>
      <c r="C30" s="59"/>
      <c r="D30" s="59"/>
      <c r="E30" s="59"/>
      <c r="F30" s="59"/>
      <c r="G30" s="57">
        <f t="shared" si="5"/>
        <v>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AG30" s="107"/>
      <c r="AH30" s="107"/>
      <c r="AI30" s="133"/>
      <c r="AJ30" s="136"/>
      <c r="AK30" s="62"/>
      <c r="AL30" s="62"/>
      <c r="AM30" s="139"/>
      <c r="AN30" s="136"/>
      <c r="AO30" s="44"/>
      <c r="AP30" s="44"/>
      <c r="AQ30" s="139"/>
      <c r="AR30" s="136"/>
      <c r="AS30" s="136"/>
      <c r="AT30" s="12"/>
    </row>
    <row r="31" ht="34.5" customHeight="1">
      <c r="A31" s="24">
        <f t="shared" si="6"/>
        <v>27</v>
      </c>
      <c r="B31" s="57" t="s">
        <v>181</v>
      </c>
      <c r="C31" s="59"/>
      <c r="D31" s="59"/>
      <c r="E31" s="59"/>
      <c r="F31" s="59"/>
      <c r="G31" s="57">
        <f t="shared" si="5"/>
        <v>0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AG31" s="107"/>
      <c r="AH31" s="107"/>
      <c r="AI31" s="133"/>
      <c r="AJ31" s="136"/>
      <c r="AK31" s="62"/>
      <c r="AL31" s="62"/>
      <c r="AM31" s="139"/>
      <c r="AN31" s="136"/>
      <c r="AO31" s="44"/>
      <c r="AP31" s="44"/>
      <c r="AQ31" s="139"/>
      <c r="AR31" s="136"/>
      <c r="AS31" s="136"/>
      <c r="AT31" s="12"/>
    </row>
    <row r="32" ht="34.5" customHeight="1">
      <c r="A32" s="24"/>
      <c r="B32" s="57"/>
      <c r="C32" s="59"/>
      <c r="D32" s="59"/>
      <c r="E32" s="59"/>
      <c r="F32" s="59"/>
      <c r="G32" s="57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AG32" s="107"/>
      <c r="AH32" s="107"/>
      <c r="AI32" s="133"/>
      <c r="AJ32" s="136"/>
      <c r="AK32" s="62"/>
      <c r="AL32" s="62"/>
      <c r="AM32" s="139"/>
      <c r="AN32" s="136"/>
      <c r="AO32" s="44"/>
      <c r="AP32" s="44"/>
      <c r="AQ32" s="139"/>
      <c r="AR32" s="136"/>
      <c r="AS32" s="136"/>
      <c r="AT32" s="12"/>
    </row>
    <row r="33" ht="34.5" customHeight="1">
      <c r="A33" s="24"/>
      <c r="B33" s="57"/>
      <c r="C33" s="59"/>
      <c r="D33" s="59"/>
      <c r="E33" s="59"/>
      <c r="F33" s="59"/>
      <c r="G33" s="57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AG33" s="107"/>
      <c r="AH33" s="107"/>
      <c r="AI33" s="133"/>
      <c r="AJ33" s="136"/>
      <c r="AK33" s="62"/>
      <c r="AL33" s="62"/>
      <c r="AM33" s="139"/>
      <c r="AN33" s="136"/>
      <c r="AO33" s="44"/>
      <c r="AP33" s="44"/>
      <c r="AQ33" s="139"/>
      <c r="AR33" s="136"/>
      <c r="AS33" s="136"/>
      <c r="AT33" s="12"/>
    </row>
    <row r="34" ht="34.5" customHeight="1">
      <c r="A34" s="156"/>
      <c r="B34" s="4"/>
      <c r="AG34" s="136"/>
      <c r="AH34" s="136"/>
      <c r="AI34" s="133"/>
      <c r="AJ34" s="136"/>
      <c r="AK34" s="136"/>
      <c r="AL34" s="136"/>
      <c r="AM34" s="139"/>
      <c r="AN34" s="136"/>
      <c r="AO34" s="136"/>
      <c r="AP34" s="136"/>
      <c r="AQ34" s="139"/>
      <c r="AR34" s="136"/>
      <c r="AS34" s="136"/>
      <c r="AT34" s="12"/>
    </row>
    <row r="35" ht="34.5" customHeight="1">
      <c r="A35" s="158"/>
      <c r="B35" s="4"/>
      <c r="AG35" s="136"/>
      <c r="AH35" s="136"/>
      <c r="AI35" s="133"/>
      <c r="AJ35" s="136"/>
      <c r="AK35" s="136"/>
      <c r="AL35" s="136"/>
      <c r="AM35" s="139"/>
      <c r="AN35" s="136"/>
      <c r="AO35" s="136"/>
      <c r="AP35" s="136"/>
      <c r="AQ35" s="139"/>
      <c r="AR35" s="136"/>
      <c r="AS35" s="136"/>
      <c r="AT35" s="12"/>
    </row>
    <row r="36" ht="34.5" customHeight="1">
      <c r="A36" s="158"/>
      <c r="B36" s="4"/>
      <c r="AG36" s="53"/>
      <c r="AH36" s="53"/>
      <c r="AI36" s="159"/>
      <c r="AJ36" s="53"/>
      <c r="AK36" s="53"/>
      <c r="AL36" s="53"/>
      <c r="AM36" s="160"/>
      <c r="AN36" s="53"/>
      <c r="AO36" s="53"/>
      <c r="AP36" s="53"/>
      <c r="AQ36" s="160"/>
      <c r="AR36" s="53"/>
      <c r="AS36" s="53"/>
      <c r="AT36" s="12"/>
    </row>
    <row r="37" ht="34.5" customHeight="1">
      <c r="A37" s="158"/>
      <c r="B37" s="4"/>
    </row>
    <row r="38" ht="34.5" customHeight="1">
      <c r="B38" s="4"/>
      <c r="D38" s="162"/>
      <c r="E38" s="163" t="s">
        <v>228</v>
      </c>
      <c r="F38" s="162"/>
      <c r="G38" s="163" t="s">
        <v>231</v>
      </c>
      <c r="H38" s="162"/>
    </row>
    <row r="39" ht="34.5" customHeight="1">
      <c r="B39" s="4"/>
      <c r="D39" s="162"/>
      <c r="E39" s="162"/>
      <c r="F39" s="162"/>
      <c r="G39" s="162"/>
      <c r="H39" s="162"/>
      <c r="AG39" s="165"/>
      <c r="AH39" s="165"/>
      <c r="AI39" s="166"/>
      <c r="AJ39" s="167"/>
      <c r="AK39" s="168"/>
      <c r="AL39" s="168"/>
      <c r="AM39" s="166"/>
      <c r="AN39" s="167"/>
      <c r="AO39" s="169"/>
      <c r="AP39" s="169"/>
      <c r="AQ39" s="166"/>
      <c r="AR39" s="165"/>
      <c r="AS39" s="165"/>
      <c r="AT39" s="33"/>
      <c r="AU39" s="33"/>
      <c r="AV39" s="33"/>
    </row>
    <row r="40" ht="34.5" customHeight="1">
      <c r="A40" s="33"/>
      <c r="B40" s="4"/>
      <c r="D40" s="163" t="s">
        <v>38</v>
      </c>
      <c r="E40" s="163">
        <v>80000.0</v>
      </c>
      <c r="F40" s="163" t="s">
        <v>240</v>
      </c>
      <c r="G40" s="163">
        <v>60000.0</v>
      </c>
      <c r="H40" s="163" t="s">
        <v>241</v>
      </c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165"/>
      <c r="AH40" s="165"/>
      <c r="AI40" s="166"/>
      <c r="AJ40" s="165"/>
      <c r="AK40" s="165"/>
      <c r="AL40" s="165"/>
      <c r="AM40" s="166"/>
      <c r="AN40" s="167"/>
      <c r="AO40" s="165"/>
      <c r="AP40" s="165"/>
      <c r="AQ40" s="166"/>
      <c r="AR40" s="165"/>
      <c r="AS40" s="165"/>
      <c r="AT40" s="33"/>
      <c r="AU40" s="33"/>
      <c r="AV40" s="33"/>
    </row>
    <row r="41" ht="34.5" customHeight="1">
      <c r="A41" s="33"/>
      <c r="B41" s="4"/>
      <c r="D41" s="163" t="s">
        <v>243</v>
      </c>
      <c r="E41" s="163">
        <v>320000.0</v>
      </c>
      <c r="F41" s="163" t="s">
        <v>244</v>
      </c>
      <c r="G41" s="163">
        <v>150000.0</v>
      </c>
      <c r="H41" s="163" t="s">
        <v>245</v>
      </c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165"/>
      <c r="AH41" s="165"/>
      <c r="AI41" s="166"/>
      <c r="AJ41" s="165"/>
      <c r="AK41" s="165"/>
      <c r="AL41" s="165"/>
      <c r="AM41" s="166"/>
      <c r="AN41" s="165"/>
      <c r="AO41" s="165"/>
      <c r="AP41" s="165"/>
      <c r="AQ41" s="166"/>
      <c r="AR41" s="165"/>
      <c r="AS41" s="165"/>
      <c r="AT41" s="33"/>
      <c r="AU41" s="33"/>
      <c r="AV41" s="33"/>
    </row>
    <row r="42" ht="34.5" customHeight="1">
      <c r="A42" s="33"/>
      <c r="B42" s="4"/>
      <c r="D42" s="163" t="s">
        <v>61</v>
      </c>
      <c r="E42" s="163">
        <v>120000.0</v>
      </c>
      <c r="F42" s="163" t="s">
        <v>245</v>
      </c>
      <c r="G42" s="163">
        <v>80000.0</v>
      </c>
      <c r="H42" s="163" t="s">
        <v>240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172"/>
      <c r="AH42" s="172"/>
      <c r="AI42" s="173"/>
      <c r="AJ42" s="172"/>
      <c r="AK42" s="172"/>
      <c r="AL42" s="172"/>
      <c r="AM42" s="173"/>
      <c r="AN42" s="172"/>
      <c r="AO42" s="172"/>
      <c r="AP42" s="172"/>
      <c r="AQ42" s="173"/>
      <c r="AR42" s="172"/>
      <c r="AS42" s="172"/>
      <c r="AT42" s="33"/>
      <c r="AU42" s="33"/>
      <c r="AV42" s="33"/>
    </row>
    <row r="43" ht="34.5" customHeight="1">
      <c r="A43" s="33"/>
      <c r="B43" s="4"/>
      <c r="D43" s="163" t="s">
        <v>247</v>
      </c>
      <c r="E43" s="163">
        <v>120000.0</v>
      </c>
      <c r="F43" s="163" t="s">
        <v>245</v>
      </c>
      <c r="G43" s="163">
        <v>80000.0</v>
      </c>
      <c r="H43" s="163" t="s">
        <v>240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ht="34.5" customHeight="1">
      <c r="B44" s="4"/>
      <c r="D44" s="163" t="s">
        <v>248</v>
      </c>
      <c r="E44" s="163">
        <v>80000.0</v>
      </c>
      <c r="F44" s="163" t="s">
        <v>240</v>
      </c>
      <c r="G44" s="163">
        <v>60000.0</v>
      </c>
      <c r="H44" s="163" t="s">
        <v>241</v>
      </c>
    </row>
    <row r="45" ht="34.5" customHeight="1">
      <c r="B45" s="4"/>
      <c r="D45" s="163" t="s">
        <v>65</v>
      </c>
      <c r="E45" s="163">
        <v>120000.0</v>
      </c>
      <c r="F45" s="163" t="s">
        <v>240</v>
      </c>
      <c r="G45" s="163">
        <v>80000.0</v>
      </c>
      <c r="H45" s="163" t="s">
        <v>240</v>
      </c>
    </row>
    <row r="46" ht="34.5" customHeight="1">
      <c r="B46" s="4"/>
    </row>
    <row r="47" ht="34.5" customHeight="1">
      <c r="B47" s="4"/>
    </row>
    <row r="48" ht="34.5" customHeight="1">
      <c r="B48" s="4"/>
      <c r="AG48" s="8" t="s">
        <v>4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9"/>
      <c r="AT48" s="12"/>
      <c r="AU48" s="12"/>
      <c r="AV48" s="12"/>
    </row>
    <row r="49" ht="34.5" customHeight="1">
      <c r="B49" s="4"/>
      <c r="AG49" s="34" t="s">
        <v>250</v>
      </c>
      <c r="AH49" s="35" t="s">
        <v>32</v>
      </c>
      <c r="AI49" s="40" t="s">
        <v>38</v>
      </c>
      <c r="AJ49" s="7"/>
      <c r="AK49" s="7"/>
      <c r="AL49" s="9"/>
      <c r="AM49" s="40" t="s">
        <v>39</v>
      </c>
      <c r="AN49" s="7"/>
      <c r="AO49" s="7"/>
      <c r="AP49" s="9"/>
      <c r="AQ49" s="40" t="s">
        <v>42</v>
      </c>
      <c r="AR49" s="7"/>
      <c r="AS49" s="9"/>
      <c r="AT49" s="35" t="s">
        <v>252</v>
      </c>
      <c r="AU49" s="175" t="s">
        <v>84</v>
      </c>
      <c r="AV49" s="175" t="s">
        <v>87</v>
      </c>
    </row>
    <row r="50" ht="34.5" customHeight="1">
      <c r="B50" s="4"/>
      <c r="AG50" s="43"/>
      <c r="AH50" s="43"/>
      <c r="AI50" s="55" t="s">
        <v>71</v>
      </c>
      <c r="AJ50" s="55" t="s">
        <v>84</v>
      </c>
      <c r="AK50" s="57" t="s">
        <v>87</v>
      </c>
      <c r="AL50" s="57"/>
      <c r="AM50" s="55" t="s">
        <v>71</v>
      </c>
      <c r="AN50" s="55" t="s">
        <v>84</v>
      </c>
      <c r="AO50" s="55" t="s">
        <v>87</v>
      </c>
      <c r="AP50" s="55"/>
      <c r="AQ50" s="55" t="s">
        <v>71</v>
      </c>
      <c r="AR50" s="55" t="s">
        <v>84</v>
      </c>
      <c r="AS50" s="55" t="s">
        <v>87</v>
      </c>
      <c r="AT50" s="43"/>
      <c r="AU50" s="43"/>
      <c r="AV50" s="43"/>
    </row>
    <row r="51" ht="34.5" customHeight="1">
      <c r="B51" s="4"/>
      <c r="AG51" s="24">
        <v>1.0</v>
      </c>
      <c r="AH51" s="176" t="s">
        <v>57</v>
      </c>
      <c r="AI51" s="73">
        <v>45826.0</v>
      </c>
      <c r="AJ51" s="57">
        <v>662373.0</v>
      </c>
      <c r="AK51" s="57" t="s">
        <v>253</v>
      </c>
      <c r="AL51" s="57"/>
      <c r="AM51" s="73">
        <v>45826.0</v>
      </c>
      <c r="AN51" s="57">
        <v>662373.0</v>
      </c>
      <c r="AO51" s="55" t="s">
        <v>253</v>
      </c>
      <c r="AP51" s="24"/>
      <c r="AQ51" s="73" t="s">
        <v>203</v>
      </c>
      <c r="AR51" s="57" t="s">
        <v>203</v>
      </c>
      <c r="AS51" s="24" t="s">
        <v>203</v>
      </c>
      <c r="AT51" s="177"/>
      <c r="AU51" s="179"/>
      <c r="AV51" s="179"/>
    </row>
    <row r="52" ht="34.5" customHeight="1">
      <c r="B52" s="4"/>
      <c r="J52" s="181"/>
      <c r="K52" s="182"/>
      <c r="L52" s="182"/>
      <c r="M52" s="183"/>
      <c r="N52" s="184"/>
      <c r="O52" s="184"/>
      <c r="P52" s="184"/>
      <c r="Q52" s="184"/>
      <c r="R52" s="184"/>
      <c r="S52" s="184"/>
      <c r="T52" s="184"/>
      <c r="U52" s="184"/>
      <c r="AG52" s="24">
        <f t="shared" ref="AG52:AG62" si="9">AG51+1</f>
        <v>2</v>
      </c>
      <c r="AH52" s="176" t="s">
        <v>104</v>
      </c>
      <c r="AI52" s="73">
        <v>45843.0</v>
      </c>
      <c r="AJ52" s="57">
        <v>424390.0</v>
      </c>
      <c r="AK52" s="57" t="s">
        <v>253</v>
      </c>
      <c r="AL52" s="57"/>
      <c r="AM52" s="73">
        <v>45843.0</v>
      </c>
      <c r="AN52" s="57">
        <v>424390.0</v>
      </c>
      <c r="AO52" s="55" t="s">
        <v>253</v>
      </c>
      <c r="AP52" s="24"/>
      <c r="AQ52" s="73" t="s">
        <v>203</v>
      </c>
      <c r="AR52" s="57" t="s">
        <v>203</v>
      </c>
      <c r="AS52" s="24" t="s">
        <v>203</v>
      </c>
      <c r="AT52" s="69" t="s">
        <v>255</v>
      </c>
      <c r="AU52" s="59">
        <v>497970.0</v>
      </c>
      <c r="AV52" s="179"/>
    </row>
    <row r="53" ht="34.5" customHeight="1">
      <c r="B53" s="4"/>
      <c r="J53" s="181"/>
      <c r="K53" s="186"/>
      <c r="L53" s="181"/>
      <c r="M53" s="181"/>
      <c r="N53" s="181"/>
      <c r="O53" s="181"/>
      <c r="P53" s="181"/>
      <c r="Q53" s="33"/>
      <c r="R53" s="33"/>
      <c r="S53" s="33"/>
      <c r="T53" s="33"/>
      <c r="U53" s="33"/>
      <c r="AG53" s="24">
        <f t="shared" si="9"/>
        <v>3</v>
      </c>
      <c r="AH53" s="176" t="s">
        <v>121</v>
      </c>
      <c r="AI53" s="73">
        <v>45816.0</v>
      </c>
      <c r="AJ53" s="57">
        <v>34334.0</v>
      </c>
      <c r="AK53" s="57" t="s">
        <v>253</v>
      </c>
      <c r="AL53" s="57"/>
      <c r="AM53" s="73">
        <v>45816.0</v>
      </c>
      <c r="AN53" s="57">
        <v>34334.0</v>
      </c>
      <c r="AO53" s="55" t="s">
        <v>253</v>
      </c>
      <c r="AP53" s="24"/>
      <c r="AQ53" s="187">
        <v>45816.0</v>
      </c>
      <c r="AR53" s="57">
        <v>34334.0</v>
      </c>
      <c r="AS53" s="24" t="s">
        <v>253</v>
      </c>
      <c r="AT53" s="24" t="s">
        <v>257</v>
      </c>
      <c r="AU53" s="59">
        <v>77859.0</v>
      </c>
      <c r="AV53" s="179"/>
    </row>
    <row r="54" ht="34.5" customHeight="1">
      <c r="B54" s="4"/>
      <c r="J54" s="181"/>
      <c r="K54" s="186"/>
      <c r="L54" s="181"/>
      <c r="M54" s="181"/>
      <c r="N54" s="181"/>
      <c r="O54" s="181"/>
      <c r="P54" s="181"/>
      <c r="Q54" s="188"/>
      <c r="R54" s="189"/>
      <c r="S54" s="181"/>
      <c r="T54" s="33"/>
      <c r="U54" s="33"/>
      <c r="AG54" s="24">
        <f t="shared" si="9"/>
        <v>4</v>
      </c>
      <c r="AH54" s="176" t="s">
        <v>136</v>
      </c>
      <c r="AI54" s="73"/>
      <c r="AJ54" s="57"/>
      <c r="AK54" s="57"/>
      <c r="AL54" s="57"/>
      <c r="AM54" s="73"/>
      <c r="AN54" s="57"/>
      <c r="AO54" s="55"/>
      <c r="AP54" s="24"/>
      <c r="AQ54" s="57"/>
      <c r="AR54" s="57"/>
      <c r="AS54" s="24"/>
      <c r="AT54" s="177"/>
      <c r="AU54" s="179"/>
      <c r="AV54" s="179"/>
    </row>
    <row r="55" ht="34.5" customHeight="1">
      <c r="B55" s="4"/>
      <c r="J55" s="181"/>
      <c r="K55" s="186"/>
      <c r="L55" s="181"/>
      <c r="M55" s="181"/>
      <c r="N55" s="181"/>
      <c r="O55" s="181"/>
      <c r="P55" s="181"/>
      <c r="Q55" s="190"/>
      <c r="R55" s="191"/>
      <c r="S55" s="33"/>
      <c r="T55" s="33"/>
      <c r="U55" s="33"/>
      <c r="AG55" s="24">
        <f t="shared" si="9"/>
        <v>5</v>
      </c>
      <c r="AH55" s="176" t="s">
        <v>120</v>
      </c>
      <c r="AI55" s="73">
        <v>45855.0</v>
      </c>
      <c r="AJ55" s="57">
        <v>718399.0</v>
      </c>
      <c r="AK55" s="57" t="s">
        <v>253</v>
      </c>
      <c r="AL55" s="57"/>
      <c r="AM55" s="91">
        <v>45855.0</v>
      </c>
      <c r="AN55" s="57">
        <v>718399.0</v>
      </c>
      <c r="AO55" s="55" t="s">
        <v>253</v>
      </c>
      <c r="AP55" s="55"/>
      <c r="AQ55" s="59" t="s">
        <v>203</v>
      </c>
      <c r="AR55" s="59" t="s">
        <v>203</v>
      </c>
      <c r="AS55" s="24" t="s">
        <v>203</v>
      </c>
      <c r="AT55" s="177"/>
      <c r="AU55" s="179"/>
      <c r="AV55" s="179"/>
    </row>
    <row r="56" ht="34.5" customHeight="1">
      <c r="B56" s="4"/>
      <c r="P56" s="33"/>
      <c r="Q56" s="33"/>
      <c r="R56" s="33"/>
      <c r="S56" s="33"/>
      <c r="T56" s="33"/>
      <c r="U56" s="33"/>
      <c r="AG56" s="24">
        <f t="shared" si="9"/>
        <v>6</v>
      </c>
      <c r="AH56" s="192" t="s">
        <v>143</v>
      </c>
      <c r="AI56" s="73">
        <v>45809.0</v>
      </c>
      <c r="AJ56" s="57">
        <v>756283.0</v>
      </c>
      <c r="AK56" s="57" t="s">
        <v>253</v>
      </c>
      <c r="AL56" s="57"/>
      <c r="AM56" s="73">
        <v>45809.0</v>
      </c>
      <c r="AN56" s="57">
        <v>756283.0</v>
      </c>
      <c r="AO56" s="55" t="s">
        <v>253</v>
      </c>
      <c r="AP56" s="24"/>
      <c r="AQ56" s="73" t="s">
        <v>203</v>
      </c>
      <c r="AR56" s="57" t="s">
        <v>203</v>
      </c>
      <c r="AS56" s="24" t="s">
        <v>203</v>
      </c>
      <c r="AT56" s="69" t="s">
        <v>259</v>
      </c>
      <c r="AU56" s="59">
        <v>913794.0</v>
      </c>
      <c r="AV56" s="59" t="s">
        <v>260</v>
      </c>
    </row>
    <row r="57" ht="34.5" customHeight="1">
      <c r="B57" s="4"/>
      <c r="AG57" s="24">
        <f t="shared" si="9"/>
        <v>7</v>
      </c>
      <c r="AH57" s="194" t="s">
        <v>155</v>
      </c>
      <c r="AI57" s="73">
        <v>45779.0</v>
      </c>
      <c r="AJ57" s="57">
        <v>613176.0</v>
      </c>
      <c r="AK57" s="57" t="s">
        <v>253</v>
      </c>
      <c r="AL57" s="57"/>
      <c r="AM57" s="73">
        <v>45779.0</v>
      </c>
      <c r="AN57" s="57">
        <v>613176.0</v>
      </c>
      <c r="AO57" s="55" t="s">
        <v>253</v>
      </c>
      <c r="AP57" s="24"/>
      <c r="AQ57" s="73" t="s">
        <v>203</v>
      </c>
      <c r="AR57" s="57" t="s">
        <v>203</v>
      </c>
      <c r="AS57" s="24" t="s">
        <v>203</v>
      </c>
      <c r="AT57" s="177"/>
      <c r="AU57" s="179"/>
      <c r="AV57" s="179"/>
    </row>
    <row r="58" ht="34.5" customHeight="1">
      <c r="B58" s="4"/>
      <c r="AG58" s="24">
        <f t="shared" si="9"/>
        <v>8</v>
      </c>
      <c r="AH58" s="194" t="s">
        <v>159</v>
      </c>
      <c r="AI58" s="73">
        <v>45849.0</v>
      </c>
      <c r="AJ58" s="57">
        <v>229547.0</v>
      </c>
      <c r="AK58" s="57" t="s">
        <v>253</v>
      </c>
      <c r="AL58" s="57"/>
      <c r="AM58" s="73">
        <v>45849.0</v>
      </c>
      <c r="AN58" s="57">
        <v>229547.0</v>
      </c>
      <c r="AO58" s="55" t="s">
        <v>253</v>
      </c>
      <c r="AP58" s="24"/>
      <c r="AQ58" s="73" t="s">
        <v>203</v>
      </c>
      <c r="AR58" s="57" t="s">
        <v>203</v>
      </c>
      <c r="AS58" s="24" t="s">
        <v>203</v>
      </c>
      <c r="AT58" s="69" t="s">
        <v>263</v>
      </c>
      <c r="AU58" s="59">
        <v>29501.0</v>
      </c>
      <c r="AV58" s="179"/>
    </row>
    <row r="59" ht="34.5" customHeight="1">
      <c r="B59" s="4"/>
      <c r="I59" s="196">
        <v>80000.0</v>
      </c>
      <c r="J59" s="196" t="s">
        <v>264</v>
      </c>
      <c r="K59" s="197"/>
      <c r="L59" s="197"/>
      <c r="M59" s="197"/>
      <c r="N59" s="197"/>
      <c r="O59" s="197"/>
      <c r="AG59" s="24">
        <f t="shared" si="9"/>
        <v>9</v>
      </c>
      <c r="AH59" s="176" t="s">
        <v>160</v>
      </c>
      <c r="AI59" s="73">
        <v>45797.0</v>
      </c>
      <c r="AJ59" s="57">
        <v>804753.0</v>
      </c>
      <c r="AK59" s="57" t="s">
        <v>253</v>
      </c>
      <c r="AL59" s="57"/>
      <c r="AM59" s="73">
        <v>45797.0</v>
      </c>
      <c r="AN59" s="57">
        <v>804753.0</v>
      </c>
      <c r="AO59" s="55" t="s">
        <v>253</v>
      </c>
      <c r="AP59" s="24"/>
      <c r="AQ59" s="187">
        <v>45797.0</v>
      </c>
      <c r="AR59" s="57">
        <v>804753.0</v>
      </c>
      <c r="AS59" s="24" t="s">
        <v>253</v>
      </c>
      <c r="AT59" s="177"/>
      <c r="AU59" s="179"/>
      <c r="AV59" s="179"/>
    </row>
    <row r="60" ht="34.5" customHeight="1">
      <c r="B60" s="4"/>
      <c r="I60" s="198" t="s">
        <v>6</v>
      </c>
      <c r="J60" s="199" t="s">
        <v>265</v>
      </c>
      <c r="K60" s="199" t="s">
        <v>29</v>
      </c>
      <c r="L60" s="199" t="s">
        <v>266</v>
      </c>
      <c r="M60" s="200"/>
      <c r="N60" s="199" t="s">
        <v>84</v>
      </c>
      <c r="O60" s="199" t="s">
        <v>267</v>
      </c>
      <c r="AG60" s="24">
        <f t="shared" si="9"/>
        <v>10</v>
      </c>
      <c r="AH60" s="176" t="s">
        <v>93</v>
      </c>
      <c r="AI60" s="73">
        <v>45820.0</v>
      </c>
      <c r="AJ60" s="57">
        <v>770500.0</v>
      </c>
      <c r="AK60" s="57" t="s">
        <v>260</v>
      </c>
      <c r="AL60" s="57"/>
      <c r="AM60" s="91">
        <v>45820.0</v>
      </c>
      <c r="AN60" s="57">
        <v>770500.0</v>
      </c>
      <c r="AO60" s="55" t="s">
        <v>260</v>
      </c>
      <c r="AP60" s="55"/>
      <c r="AQ60" s="59" t="s">
        <v>203</v>
      </c>
      <c r="AR60" s="59" t="s">
        <v>203</v>
      </c>
      <c r="AS60" s="24" t="s">
        <v>203</v>
      </c>
      <c r="AT60" s="177"/>
      <c r="AU60" s="179"/>
      <c r="AV60" s="179"/>
    </row>
    <row r="61" ht="67.5" customHeight="1">
      <c r="B61" s="4"/>
      <c r="I61" s="199">
        <v>1.0</v>
      </c>
      <c r="J61" s="201">
        <v>45834.0</v>
      </c>
      <c r="K61" s="199" t="s">
        <v>181</v>
      </c>
      <c r="L61" s="199">
        <v>26569.0</v>
      </c>
      <c r="M61" s="202" t="s">
        <v>269</v>
      </c>
      <c r="N61" s="199">
        <v>79598.0</v>
      </c>
      <c r="O61" s="199" t="s">
        <v>176</v>
      </c>
      <c r="AG61" s="24">
        <f t="shared" si="9"/>
        <v>11</v>
      </c>
      <c r="AH61" s="176" t="s">
        <v>132</v>
      </c>
      <c r="AI61" s="73">
        <v>45965.0</v>
      </c>
      <c r="AJ61" s="57">
        <v>682076.0</v>
      </c>
      <c r="AK61" s="57" t="s">
        <v>260</v>
      </c>
      <c r="AL61" s="57"/>
      <c r="AM61" s="91"/>
      <c r="AN61" s="59"/>
      <c r="AO61" s="24"/>
      <c r="AP61" s="24"/>
      <c r="AQ61" s="57"/>
      <c r="AR61" s="57"/>
      <c r="AS61" s="24"/>
      <c r="AT61" s="177"/>
      <c r="AU61" s="179"/>
      <c r="AV61" s="179"/>
    </row>
    <row r="62" ht="48.0" customHeight="1">
      <c r="B62" s="4"/>
      <c r="I62" s="199">
        <v>2.0</v>
      </c>
      <c r="J62" s="201">
        <v>45852.0</v>
      </c>
      <c r="K62" s="199" t="s">
        <v>190</v>
      </c>
      <c r="L62" s="199">
        <v>27503.0</v>
      </c>
      <c r="M62" s="202" t="s">
        <v>269</v>
      </c>
      <c r="N62" s="199">
        <v>80539.0</v>
      </c>
      <c r="O62" s="199" t="s">
        <v>176</v>
      </c>
      <c r="AG62" s="24">
        <f t="shared" si="9"/>
        <v>12</v>
      </c>
      <c r="AH62" s="176" t="s">
        <v>127</v>
      </c>
      <c r="AI62" s="73">
        <v>45847.0</v>
      </c>
      <c r="AJ62" s="57">
        <v>693911.0</v>
      </c>
      <c r="AK62" s="57" t="s">
        <v>260</v>
      </c>
      <c r="AL62" s="57"/>
      <c r="AM62" s="91">
        <v>45847.0</v>
      </c>
      <c r="AN62" s="57">
        <v>693911.0</v>
      </c>
      <c r="AO62" s="55" t="s">
        <v>260</v>
      </c>
      <c r="AP62" s="55"/>
      <c r="AQ62" s="203">
        <v>45858.0</v>
      </c>
      <c r="AR62" s="57">
        <v>658545.0</v>
      </c>
      <c r="AS62" s="24" t="s">
        <v>260</v>
      </c>
      <c r="AT62" s="45">
        <v>45976.0</v>
      </c>
      <c r="AU62" s="59">
        <v>730163.0</v>
      </c>
      <c r="AV62" s="179"/>
    </row>
    <row r="63" ht="34.5" customHeight="1">
      <c r="B63" s="4"/>
      <c r="I63" s="204">
        <v>160000.0</v>
      </c>
      <c r="J63" s="204" t="s">
        <v>270</v>
      </c>
      <c r="K63" s="205"/>
      <c r="L63" s="205"/>
      <c r="M63" s="206"/>
      <c r="N63" s="205"/>
      <c r="O63" s="205"/>
      <c r="AG63" s="24"/>
      <c r="AH63" s="176"/>
      <c r="AI63" s="73"/>
      <c r="AJ63" s="57"/>
      <c r="AK63" s="57"/>
      <c r="AL63" s="57"/>
      <c r="AM63" s="73"/>
      <c r="AN63" s="57"/>
      <c r="AO63" s="55"/>
      <c r="AP63" s="24"/>
      <c r="AQ63" s="187"/>
      <c r="AR63" s="57"/>
      <c r="AS63" s="24"/>
      <c r="AT63" s="177"/>
      <c r="AU63" s="179"/>
      <c r="AV63" s="179"/>
    </row>
    <row r="64" ht="34.5" customHeight="1">
      <c r="B64" s="4"/>
      <c r="I64" s="198" t="s">
        <v>6</v>
      </c>
      <c r="J64" s="199" t="s">
        <v>265</v>
      </c>
      <c r="K64" s="199" t="s">
        <v>29</v>
      </c>
      <c r="L64" s="199" t="s">
        <v>266</v>
      </c>
      <c r="M64" s="200"/>
      <c r="N64" s="199" t="s">
        <v>84</v>
      </c>
      <c r="O64" s="199" t="s">
        <v>267</v>
      </c>
      <c r="AG64" s="24">
        <f>AG62+1</f>
        <v>13</v>
      </c>
      <c r="AH64" s="176" t="s">
        <v>147</v>
      </c>
      <c r="AI64" s="73">
        <v>45799.0</v>
      </c>
      <c r="AJ64" s="57">
        <v>833482.0</v>
      </c>
      <c r="AK64" s="57" t="s">
        <v>253</v>
      </c>
      <c r="AL64" s="57"/>
      <c r="AM64" s="73">
        <v>45799.0</v>
      </c>
      <c r="AN64" s="57">
        <v>833482.0</v>
      </c>
      <c r="AO64" s="55" t="s">
        <v>253</v>
      </c>
      <c r="AP64" s="24"/>
      <c r="AQ64" s="187">
        <v>45965.0</v>
      </c>
      <c r="AR64" s="57">
        <v>883355.0</v>
      </c>
      <c r="AS64" s="24" t="s">
        <v>260</v>
      </c>
      <c r="AT64" s="177"/>
      <c r="AU64" s="179"/>
      <c r="AV64" s="179"/>
    </row>
    <row r="65" ht="34.5" customHeight="1">
      <c r="B65" s="4"/>
      <c r="I65" s="210">
        <v>1.0</v>
      </c>
      <c r="J65" s="211">
        <v>46076.0</v>
      </c>
      <c r="K65" s="210" t="s">
        <v>181</v>
      </c>
      <c r="L65" s="210">
        <v>89194.0</v>
      </c>
      <c r="M65" s="202" t="s">
        <v>269</v>
      </c>
      <c r="N65" s="210">
        <v>164100.0</v>
      </c>
      <c r="O65" s="210" t="s">
        <v>176</v>
      </c>
      <c r="AG65" s="24">
        <f>AG64+1</f>
        <v>14</v>
      </c>
      <c r="AH65" s="176" t="s">
        <v>168</v>
      </c>
      <c r="AI65" s="73"/>
      <c r="AJ65" s="57"/>
      <c r="AK65" s="57"/>
      <c r="AL65" s="57"/>
      <c r="AM65" s="73"/>
      <c r="AN65" s="57"/>
      <c r="AO65" s="55"/>
      <c r="AP65" s="24"/>
      <c r="AQ65" s="57"/>
      <c r="AR65" s="57"/>
      <c r="AS65" s="24"/>
      <c r="AT65" s="177"/>
      <c r="AU65" s="179"/>
      <c r="AV65" s="179"/>
    </row>
    <row r="66" ht="51.0" customHeight="1">
      <c r="B66" s="4"/>
      <c r="I66" s="210">
        <v>2.0</v>
      </c>
      <c r="J66" s="211">
        <v>46092.0</v>
      </c>
      <c r="K66" s="210" t="s">
        <v>190</v>
      </c>
      <c r="L66" s="210">
        <v>99144.0</v>
      </c>
      <c r="M66" s="202" t="s">
        <v>271</v>
      </c>
      <c r="N66" s="210">
        <v>162989.0</v>
      </c>
      <c r="O66" s="210" t="s">
        <v>176</v>
      </c>
      <c r="AG66" s="24"/>
      <c r="AH66" s="194"/>
      <c r="AI66" s="73"/>
      <c r="AJ66" s="57"/>
      <c r="AK66" s="57"/>
      <c r="AL66" s="57"/>
      <c r="AM66" s="73"/>
      <c r="AN66" s="57"/>
      <c r="AO66" s="55"/>
      <c r="AP66" s="24"/>
      <c r="AQ66" s="57"/>
      <c r="AR66" s="57"/>
      <c r="AS66" s="24"/>
      <c r="AT66" s="69"/>
      <c r="AU66" s="59"/>
      <c r="AV66" s="179"/>
    </row>
    <row r="67" ht="34.5" customHeight="1">
      <c r="B67" s="4"/>
      <c r="I67" s="210">
        <v>3.0</v>
      </c>
      <c r="J67" s="211">
        <v>46084.0</v>
      </c>
      <c r="K67" s="210" t="s">
        <v>181</v>
      </c>
      <c r="L67" s="210">
        <v>5613.0</v>
      </c>
      <c r="M67" s="212" t="s">
        <v>272</v>
      </c>
      <c r="N67" s="210">
        <v>166682.0</v>
      </c>
      <c r="O67" s="210" t="s">
        <v>176</v>
      </c>
      <c r="AG67" s="24"/>
      <c r="AH67" s="194"/>
      <c r="AI67" s="73"/>
      <c r="AJ67" s="57"/>
      <c r="AK67" s="57"/>
      <c r="AL67" s="57"/>
      <c r="AM67" s="73"/>
      <c r="AN67" s="57"/>
      <c r="AO67" s="55"/>
      <c r="AP67" s="24"/>
      <c r="AQ67" s="57"/>
      <c r="AR67" s="57"/>
      <c r="AS67" s="24"/>
      <c r="AT67" s="69"/>
      <c r="AU67" s="59"/>
      <c r="AV67" s="179"/>
    </row>
    <row r="68" ht="34.5" customHeight="1">
      <c r="B68" s="4"/>
      <c r="AG68" s="24" t="str">
        <f>#REF!+1</f>
        <v>#REF!</v>
      </c>
      <c r="AH68" s="194" t="s">
        <v>187</v>
      </c>
      <c r="AI68" s="187">
        <v>46218.0</v>
      </c>
      <c r="AJ68" s="57">
        <v>80539.0</v>
      </c>
      <c r="AK68" s="57" t="s">
        <v>176</v>
      </c>
      <c r="AL68" s="57"/>
      <c r="AM68" s="213"/>
      <c r="AN68" s="109"/>
      <c r="AO68" s="55"/>
      <c r="AP68" s="24"/>
      <c r="AQ68" s="213"/>
      <c r="AR68" s="109"/>
      <c r="AS68" s="24"/>
      <c r="AT68" s="177"/>
      <c r="AU68" s="179"/>
      <c r="AV68" s="179"/>
    </row>
    <row r="69" ht="34.5" customHeight="1">
      <c r="B69" s="4"/>
      <c r="AG69" s="136"/>
      <c r="AH69" s="136"/>
      <c r="AI69" s="133"/>
      <c r="AJ69" s="107"/>
      <c r="AK69" s="136"/>
      <c r="AL69" s="136"/>
      <c r="AM69" s="139"/>
      <c r="AN69" s="214"/>
      <c r="AO69" s="136"/>
      <c r="AP69" s="136"/>
      <c r="AQ69" s="139"/>
      <c r="AR69" s="136"/>
      <c r="AS69" s="136"/>
      <c r="AT69" s="12"/>
      <c r="AU69" s="179"/>
      <c r="AV69" s="179"/>
    </row>
    <row r="70" ht="34.5" customHeight="1">
      <c r="B70" s="4"/>
      <c r="AU70" s="4"/>
    </row>
    <row r="71" ht="34.5" customHeight="1">
      <c r="B71" s="4"/>
    </row>
    <row r="72" ht="34.5" customHeight="1">
      <c r="B72" s="4"/>
      <c r="C72" s="215">
        <v>45987.0</v>
      </c>
      <c r="D72" s="216" t="s">
        <v>273</v>
      </c>
      <c r="E72" s="217" t="s">
        <v>274</v>
      </c>
      <c r="F72" s="216">
        <v>508.0</v>
      </c>
      <c r="G72" s="218">
        <v>91.52</v>
      </c>
      <c r="H72" s="217">
        <v>600.0</v>
      </c>
      <c r="I72" s="219" t="s">
        <v>104</v>
      </c>
      <c r="S72" s="4"/>
    </row>
    <row r="73" ht="34.5" customHeight="1">
      <c r="B73" s="4"/>
      <c r="C73" s="220">
        <v>45987.0</v>
      </c>
      <c r="D73" s="216" t="s">
        <v>273</v>
      </c>
      <c r="E73" s="221" t="s">
        <v>276</v>
      </c>
      <c r="F73" s="216">
        <v>12571.06</v>
      </c>
      <c r="G73" s="218">
        <v>2262.8</v>
      </c>
      <c r="H73" s="217">
        <v>14834.0</v>
      </c>
      <c r="I73" s="216" t="s">
        <v>147</v>
      </c>
    </row>
    <row r="74" ht="34.5" customHeight="1">
      <c r="B74" s="4"/>
      <c r="C74" s="215">
        <v>45987.0</v>
      </c>
      <c r="D74" s="216" t="s">
        <v>273</v>
      </c>
      <c r="E74" s="217" t="s">
        <v>277</v>
      </c>
      <c r="F74" s="216">
        <v>1398.31</v>
      </c>
      <c r="G74" s="218">
        <v>251.7</v>
      </c>
      <c r="H74" s="217">
        <v>1650.0</v>
      </c>
      <c r="I74" s="216" t="s">
        <v>93</v>
      </c>
    </row>
    <row r="75" ht="34.5" customHeight="1">
      <c r="B75" s="4"/>
      <c r="C75" s="220">
        <v>45987.0</v>
      </c>
      <c r="D75" s="216" t="s">
        <v>273</v>
      </c>
      <c r="E75" s="221" t="s">
        <v>278</v>
      </c>
      <c r="F75" s="216">
        <v>3190.68</v>
      </c>
      <c r="G75" s="218">
        <v>574.3</v>
      </c>
      <c r="H75" s="217">
        <v>3765.0</v>
      </c>
      <c r="I75" s="216" t="s">
        <v>181</v>
      </c>
    </row>
    <row r="76" ht="34.5" customHeight="1">
      <c r="B76" s="4"/>
      <c r="C76" s="215">
        <v>45987.0</v>
      </c>
      <c r="D76" s="216" t="s">
        <v>273</v>
      </c>
      <c r="E76" s="217" t="s">
        <v>279</v>
      </c>
      <c r="F76" s="216">
        <v>1983.08</v>
      </c>
      <c r="G76" s="218">
        <v>356.96</v>
      </c>
      <c r="H76" s="217">
        <v>2340.0</v>
      </c>
      <c r="I76" s="216" t="s">
        <v>136</v>
      </c>
    </row>
    <row r="77" ht="34.5" customHeight="1">
      <c r="B77" s="4"/>
      <c r="C77" s="220">
        <v>45987.0</v>
      </c>
      <c r="D77" s="216" t="s">
        <v>273</v>
      </c>
      <c r="E77" s="221" t="s">
        <v>280</v>
      </c>
      <c r="F77" s="216">
        <v>793.21</v>
      </c>
      <c r="G77" s="218">
        <v>142.8</v>
      </c>
      <c r="H77" s="217">
        <v>936.0</v>
      </c>
      <c r="I77" s="216" t="s">
        <v>121</v>
      </c>
    </row>
    <row r="78" ht="34.5" customHeight="1">
      <c r="B78" s="4"/>
      <c r="C78" s="215">
        <v>45987.0</v>
      </c>
      <c r="D78" s="216" t="s">
        <v>273</v>
      </c>
      <c r="E78" s="217" t="s">
        <v>281</v>
      </c>
      <c r="F78" s="216">
        <v>1911.04</v>
      </c>
      <c r="G78" s="218">
        <v>344.0</v>
      </c>
      <c r="H78" s="217">
        <v>2255.0</v>
      </c>
      <c r="I78" s="216" t="s">
        <v>104</v>
      </c>
      <c r="W78" s="222"/>
    </row>
    <row r="79" ht="34.5" customHeight="1">
      <c r="B79" s="4"/>
      <c r="C79" s="220">
        <v>45987.0</v>
      </c>
      <c r="D79" s="216" t="s">
        <v>273</v>
      </c>
      <c r="E79" s="221" t="s">
        <v>282</v>
      </c>
      <c r="F79" s="216">
        <v>2466.07</v>
      </c>
      <c r="G79" s="218">
        <v>443.88</v>
      </c>
      <c r="H79" s="217">
        <v>2910.0</v>
      </c>
      <c r="I79" s="216" t="s">
        <v>208</v>
      </c>
      <c r="W79" s="222"/>
    </row>
    <row r="80" ht="34.5" customHeight="1">
      <c r="B80" s="4"/>
      <c r="C80" s="215">
        <v>45987.0</v>
      </c>
      <c r="D80" s="216" t="s">
        <v>273</v>
      </c>
      <c r="E80" s="217" t="s">
        <v>283</v>
      </c>
      <c r="F80" s="216">
        <v>1101.69</v>
      </c>
      <c r="G80" s="218">
        <v>198.3</v>
      </c>
      <c r="H80" s="217">
        <v>1300.0</v>
      </c>
      <c r="I80" s="216" t="s">
        <v>190</v>
      </c>
      <c r="W80" s="223"/>
    </row>
    <row r="81" ht="34.5" customHeight="1">
      <c r="B81" s="4"/>
      <c r="C81" s="220">
        <v>45988.0</v>
      </c>
      <c r="D81" s="216" t="s">
        <v>273</v>
      </c>
      <c r="E81" s="221" t="s">
        <v>284</v>
      </c>
      <c r="F81" s="216">
        <v>11050.84</v>
      </c>
      <c r="G81" s="218">
        <v>1989.14</v>
      </c>
      <c r="H81" s="217">
        <v>13040.0</v>
      </c>
      <c r="I81" s="216" t="s">
        <v>104</v>
      </c>
      <c r="W81" s="223"/>
    </row>
    <row r="82" ht="34.5" customHeight="1">
      <c r="B82" s="4"/>
      <c r="C82" s="215">
        <v>45988.0</v>
      </c>
      <c r="D82" s="216" t="s">
        <v>273</v>
      </c>
      <c r="E82" s="217" t="s">
        <v>285</v>
      </c>
      <c r="F82" s="216">
        <v>169.49</v>
      </c>
      <c r="G82" s="218">
        <v>30.5</v>
      </c>
      <c r="H82" s="217">
        <v>200.0</v>
      </c>
      <c r="I82" s="216" t="s">
        <v>93</v>
      </c>
      <c r="W82" s="222"/>
    </row>
    <row r="83" ht="34.5" customHeight="1">
      <c r="B83" s="4"/>
      <c r="C83" s="220">
        <v>45988.0</v>
      </c>
      <c r="D83" s="216" t="s">
        <v>273</v>
      </c>
      <c r="E83" s="221" t="s">
        <v>286</v>
      </c>
      <c r="F83" s="216">
        <v>1911.0</v>
      </c>
      <c r="G83" s="218">
        <v>343.96</v>
      </c>
      <c r="H83" s="217">
        <v>2255.0</v>
      </c>
      <c r="I83" s="216" t="s">
        <v>132</v>
      </c>
      <c r="W83" s="222"/>
    </row>
    <row r="84" ht="34.5" customHeight="1">
      <c r="B84" s="4"/>
      <c r="C84" s="215">
        <v>45988.0</v>
      </c>
      <c r="D84" s="216" t="s">
        <v>273</v>
      </c>
      <c r="E84" s="217" t="s">
        <v>287</v>
      </c>
      <c r="F84" s="216">
        <v>3254.21</v>
      </c>
      <c r="G84" s="218">
        <v>585.76</v>
      </c>
      <c r="H84" s="217">
        <v>3840.0</v>
      </c>
      <c r="I84" s="216" t="s">
        <v>159</v>
      </c>
      <c r="W84" s="222"/>
    </row>
    <row r="85" ht="34.5" customHeight="1">
      <c r="B85" s="4"/>
      <c r="C85" s="220">
        <v>45988.0</v>
      </c>
      <c r="D85" s="216" t="s">
        <v>273</v>
      </c>
      <c r="E85" s="221" t="s">
        <v>288</v>
      </c>
      <c r="F85" s="216">
        <v>7533.9</v>
      </c>
      <c r="G85" s="218">
        <v>1356.1</v>
      </c>
      <c r="H85" s="217">
        <v>8890.0</v>
      </c>
      <c r="I85" s="216" t="s">
        <v>143</v>
      </c>
      <c r="W85" s="223"/>
    </row>
    <row r="86" ht="34.5" customHeight="1">
      <c r="B86" s="4"/>
      <c r="C86" s="215">
        <v>45988.0</v>
      </c>
      <c r="D86" s="216" t="s">
        <v>273</v>
      </c>
      <c r="E86" s="217" t="s">
        <v>289</v>
      </c>
      <c r="F86" s="216">
        <v>3000.0</v>
      </c>
      <c r="G86" s="218">
        <v>540.0</v>
      </c>
      <c r="H86" s="217">
        <v>3540.0</v>
      </c>
      <c r="I86" s="216" t="s">
        <v>147</v>
      </c>
    </row>
    <row r="87" ht="34.5" customHeight="1">
      <c r="B87" s="4"/>
      <c r="C87" s="220">
        <v>45988.0</v>
      </c>
      <c r="D87" s="216" t="s">
        <v>273</v>
      </c>
      <c r="E87" s="221" t="s">
        <v>290</v>
      </c>
      <c r="F87" s="216">
        <v>203.39</v>
      </c>
      <c r="G87" s="218">
        <v>36.62</v>
      </c>
      <c r="H87" s="217">
        <v>240.0</v>
      </c>
      <c r="I87" s="216" t="s">
        <v>168</v>
      </c>
    </row>
    <row r="88" ht="34.5" customHeight="1">
      <c r="B88" s="4"/>
      <c r="C88" s="215">
        <v>45988.0</v>
      </c>
      <c r="D88" s="216" t="s">
        <v>273</v>
      </c>
      <c r="E88" s="217" t="s">
        <v>291</v>
      </c>
      <c r="F88" s="216">
        <v>6225.45</v>
      </c>
      <c r="G88" s="218">
        <v>1120.58</v>
      </c>
      <c r="H88" s="217">
        <v>7346.0</v>
      </c>
      <c r="I88" s="216" t="s">
        <v>136</v>
      </c>
    </row>
    <row r="89" ht="34.5" customHeight="1">
      <c r="B89" s="4"/>
      <c r="C89" s="220">
        <v>45988.0</v>
      </c>
      <c r="D89" s="216" t="s">
        <v>273</v>
      </c>
      <c r="E89" s="221" t="s">
        <v>292</v>
      </c>
      <c r="F89" s="216">
        <v>754.23</v>
      </c>
      <c r="G89" s="218">
        <v>135.76</v>
      </c>
      <c r="H89" s="217">
        <v>890.0</v>
      </c>
      <c r="I89" s="216" t="s">
        <v>293</v>
      </c>
    </row>
    <row r="90" ht="34.5" customHeight="1">
      <c r="B90" s="4"/>
      <c r="C90" s="215">
        <v>45988.0</v>
      </c>
      <c r="D90" s="216" t="s">
        <v>273</v>
      </c>
      <c r="E90" s="217" t="s">
        <v>294</v>
      </c>
      <c r="F90" s="216">
        <v>2059.31</v>
      </c>
      <c r="G90" s="218">
        <v>370.68</v>
      </c>
      <c r="H90" s="217">
        <v>2430.0</v>
      </c>
      <c r="I90" s="216" t="s">
        <v>143</v>
      </c>
    </row>
    <row r="91" ht="34.5" customHeight="1">
      <c r="B91" s="4"/>
      <c r="C91" s="215">
        <v>45989.0</v>
      </c>
      <c r="D91" s="216" t="s">
        <v>273</v>
      </c>
      <c r="E91" s="217" t="s">
        <v>296</v>
      </c>
      <c r="F91" s="216">
        <v>24533.96</v>
      </c>
      <c r="G91" s="218">
        <v>4416.1</v>
      </c>
      <c r="H91" s="217">
        <v>28950.0</v>
      </c>
      <c r="I91" s="216" t="s">
        <v>297</v>
      </c>
    </row>
    <row r="92" ht="34.5" customHeight="1">
      <c r="B92" s="4"/>
      <c r="C92" s="215">
        <v>46018.0</v>
      </c>
      <c r="D92" s="216" t="s">
        <v>273</v>
      </c>
      <c r="E92" s="217" t="s">
        <v>298</v>
      </c>
      <c r="F92" s="216">
        <v>7694.9</v>
      </c>
      <c r="G92" s="218">
        <v>1385.08</v>
      </c>
      <c r="H92" s="217">
        <v>9080.0</v>
      </c>
      <c r="I92" s="216" t="s">
        <v>160</v>
      </c>
    </row>
    <row r="93" ht="34.5" customHeight="1">
      <c r="B93" s="4"/>
      <c r="C93" s="220">
        <v>46018.0</v>
      </c>
      <c r="D93" s="216" t="s">
        <v>273</v>
      </c>
      <c r="E93" s="221" t="s">
        <v>299</v>
      </c>
      <c r="F93" s="216">
        <v>610.14</v>
      </c>
      <c r="G93" s="218">
        <v>109.82</v>
      </c>
      <c r="H93" s="217">
        <v>720.0</v>
      </c>
      <c r="I93" s="216" t="s">
        <v>132</v>
      </c>
    </row>
    <row r="94" ht="34.5" customHeight="1">
      <c r="B94" s="4"/>
      <c r="C94" s="215">
        <v>46018.0</v>
      </c>
      <c r="D94" s="216" t="s">
        <v>273</v>
      </c>
      <c r="E94" s="217" t="s">
        <v>300</v>
      </c>
      <c r="F94" s="216">
        <v>8940.72</v>
      </c>
      <c r="G94" s="218">
        <v>1609.32</v>
      </c>
      <c r="H94" s="217">
        <v>10550.0</v>
      </c>
      <c r="I94" s="216" t="s">
        <v>208</v>
      </c>
    </row>
    <row r="95" ht="34.5" customHeight="1">
      <c r="B95" s="4"/>
      <c r="C95" s="220">
        <v>46018.0</v>
      </c>
      <c r="D95" s="216" t="s">
        <v>273</v>
      </c>
      <c r="E95" s="221" t="s">
        <v>301</v>
      </c>
      <c r="F95" s="216">
        <v>3652.55</v>
      </c>
      <c r="G95" s="218">
        <v>657.46</v>
      </c>
      <c r="H95" s="217">
        <v>4310.0</v>
      </c>
      <c r="I95" s="216" t="s">
        <v>121</v>
      </c>
    </row>
    <row r="96" ht="34.5" customHeight="1">
      <c r="B96" s="4"/>
      <c r="C96" s="215">
        <v>46018.0</v>
      </c>
      <c r="D96" s="216" t="s">
        <v>273</v>
      </c>
      <c r="E96" s="217" t="s">
        <v>304</v>
      </c>
      <c r="F96" s="216">
        <v>529.66</v>
      </c>
      <c r="G96" s="218">
        <v>95.34</v>
      </c>
      <c r="H96" s="217">
        <v>625.0</v>
      </c>
      <c r="I96" s="216" t="s">
        <v>159</v>
      </c>
    </row>
    <row r="97" ht="34.5" customHeight="1">
      <c r="B97" s="4"/>
      <c r="C97" s="220">
        <v>46018.0</v>
      </c>
      <c r="D97" s="216" t="s">
        <v>273</v>
      </c>
      <c r="E97" s="221" t="s">
        <v>305</v>
      </c>
      <c r="F97" s="216">
        <v>7152.53</v>
      </c>
      <c r="G97" s="218">
        <v>1287.46</v>
      </c>
      <c r="H97" s="217">
        <v>8440.0</v>
      </c>
      <c r="I97" s="216" t="s">
        <v>120</v>
      </c>
    </row>
    <row r="98" ht="34.5" customHeight="1">
      <c r="B98" s="4"/>
      <c r="C98" s="215">
        <v>46018.0</v>
      </c>
      <c r="D98" s="216" t="s">
        <v>273</v>
      </c>
      <c r="E98" s="217" t="s">
        <v>306</v>
      </c>
      <c r="F98" s="216">
        <v>14050.85</v>
      </c>
      <c r="G98" s="218">
        <v>2529.18</v>
      </c>
      <c r="H98" s="217">
        <v>16580.0</v>
      </c>
      <c r="I98" s="216" t="s">
        <v>93</v>
      </c>
    </row>
    <row r="99" ht="34.5" customHeight="1">
      <c r="B99" s="4"/>
      <c r="C99" s="220">
        <v>46018.0</v>
      </c>
      <c r="D99" s="216" t="s">
        <v>273</v>
      </c>
      <c r="E99" s="221" t="s">
        <v>309</v>
      </c>
      <c r="F99" s="216">
        <v>3110.17</v>
      </c>
      <c r="G99" s="218">
        <v>559.84</v>
      </c>
      <c r="H99" s="217">
        <v>3670.0</v>
      </c>
      <c r="I99" s="216" t="s">
        <v>159</v>
      </c>
    </row>
    <row r="100" ht="33.75" customHeight="1">
      <c r="B100" s="4"/>
      <c r="C100" s="215">
        <v>46018.0</v>
      </c>
      <c r="D100" s="216" t="s">
        <v>273</v>
      </c>
      <c r="E100" s="217" t="s">
        <v>310</v>
      </c>
      <c r="F100" s="216">
        <v>1819.47</v>
      </c>
      <c r="G100" s="218">
        <v>327.5</v>
      </c>
      <c r="H100" s="217">
        <v>2147.0</v>
      </c>
      <c r="I100" s="216" t="s">
        <v>132</v>
      </c>
    </row>
    <row r="101" ht="33.75" customHeight="1">
      <c r="B101" s="4"/>
      <c r="C101" s="220">
        <v>46018.0</v>
      </c>
      <c r="D101" s="216" t="s">
        <v>273</v>
      </c>
      <c r="E101" s="221" t="s">
        <v>313</v>
      </c>
      <c r="F101" s="216">
        <v>305.08</v>
      </c>
      <c r="G101" s="218">
        <v>54.92</v>
      </c>
      <c r="H101" s="217">
        <v>360.0</v>
      </c>
      <c r="I101" s="216" t="s">
        <v>181</v>
      </c>
    </row>
    <row r="102" ht="33.75" customHeight="1">
      <c r="B102" s="4"/>
      <c r="C102" s="215">
        <v>46018.0</v>
      </c>
      <c r="D102" s="216" t="s">
        <v>273</v>
      </c>
      <c r="E102" s="217" t="s">
        <v>316</v>
      </c>
      <c r="F102" s="216">
        <v>30205.01</v>
      </c>
      <c r="G102" s="218">
        <v>5436.94</v>
      </c>
      <c r="H102" s="217">
        <v>35642.0</v>
      </c>
      <c r="I102" s="216" t="s">
        <v>93</v>
      </c>
    </row>
    <row r="103" ht="33.75" customHeight="1">
      <c r="B103" s="4"/>
      <c r="C103" s="220">
        <v>46018.0</v>
      </c>
      <c r="D103" s="216" t="s">
        <v>273</v>
      </c>
      <c r="E103" s="221" t="s">
        <v>318</v>
      </c>
      <c r="F103" s="216">
        <v>25597.42</v>
      </c>
      <c r="G103" s="218">
        <v>4607.52</v>
      </c>
      <c r="H103" s="217">
        <v>30205.0</v>
      </c>
      <c r="I103" s="216" t="s">
        <v>93</v>
      </c>
    </row>
    <row r="104" ht="33.75" customHeight="1">
      <c r="B104" s="4"/>
      <c r="C104" s="215">
        <v>46018.0</v>
      </c>
      <c r="D104" s="216" t="s">
        <v>273</v>
      </c>
      <c r="E104" s="217" t="s">
        <v>321</v>
      </c>
      <c r="F104" s="216">
        <v>737.29</v>
      </c>
      <c r="G104" s="218">
        <v>132.72</v>
      </c>
      <c r="H104" s="217">
        <v>870.0</v>
      </c>
      <c r="I104" s="216" t="s">
        <v>147</v>
      </c>
    </row>
    <row r="105" ht="33.75" customHeight="1">
      <c r="B105" s="4"/>
      <c r="C105" s="220">
        <v>46018.0</v>
      </c>
      <c r="D105" s="216" t="s">
        <v>273</v>
      </c>
      <c r="E105" s="221" t="s">
        <v>325</v>
      </c>
      <c r="F105" s="216">
        <v>1983.07</v>
      </c>
      <c r="G105" s="218">
        <v>356.96</v>
      </c>
      <c r="H105" s="217">
        <v>2340.0</v>
      </c>
      <c r="I105" s="216" t="s">
        <v>57</v>
      </c>
    </row>
    <row r="106" ht="33.75" customHeight="1">
      <c r="B106" s="4"/>
      <c r="C106" s="215">
        <v>46018.0</v>
      </c>
      <c r="D106" s="216" t="s">
        <v>273</v>
      </c>
      <c r="E106" s="217" t="s">
        <v>331</v>
      </c>
      <c r="F106" s="216">
        <v>6610.16</v>
      </c>
      <c r="G106" s="218">
        <v>1189.82</v>
      </c>
      <c r="H106" s="217">
        <v>7800.0</v>
      </c>
      <c r="I106" s="216" t="s">
        <v>136</v>
      </c>
    </row>
    <row r="107" ht="33.75" customHeight="1">
      <c r="B107" s="4"/>
      <c r="C107" s="220">
        <v>46018.0</v>
      </c>
      <c r="D107" s="216" t="s">
        <v>273</v>
      </c>
      <c r="E107" s="221" t="s">
        <v>336</v>
      </c>
      <c r="F107" s="216">
        <v>135.59</v>
      </c>
      <c r="G107" s="218">
        <v>24.4</v>
      </c>
      <c r="H107" s="217">
        <v>160.0</v>
      </c>
      <c r="I107" s="216" t="s">
        <v>190</v>
      </c>
    </row>
    <row r="108" ht="33.75" customHeight="1">
      <c r="B108" s="4"/>
      <c r="C108" s="215">
        <v>46018.0</v>
      </c>
      <c r="D108" s="216" t="s">
        <v>273</v>
      </c>
      <c r="E108" s="217" t="s">
        <v>342</v>
      </c>
      <c r="F108" s="216">
        <v>3144.07</v>
      </c>
      <c r="G108" s="218">
        <v>565.94</v>
      </c>
      <c r="H108" s="217">
        <v>3710.0</v>
      </c>
      <c r="I108" s="216" t="s">
        <v>155</v>
      </c>
    </row>
    <row r="109" ht="33.75" customHeight="1">
      <c r="B109" s="4"/>
      <c r="C109" s="220">
        <v>46020.0</v>
      </c>
      <c r="D109" s="216" t="s">
        <v>273</v>
      </c>
      <c r="E109" s="221" t="s">
        <v>346</v>
      </c>
      <c r="F109" s="216">
        <v>3059.32</v>
      </c>
      <c r="G109" s="218">
        <v>550.68</v>
      </c>
      <c r="H109" s="217">
        <v>3610.0</v>
      </c>
      <c r="I109" s="216" t="s">
        <v>93</v>
      </c>
    </row>
    <row r="110" ht="33.75" customHeight="1">
      <c r="B110" s="4"/>
      <c r="C110" s="215">
        <v>46020.0</v>
      </c>
      <c r="D110" s="216" t="s">
        <v>273</v>
      </c>
      <c r="E110" s="217" t="s">
        <v>351</v>
      </c>
      <c r="F110" s="216">
        <v>39347.23</v>
      </c>
      <c r="G110" s="218">
        <v>7082.54</v>
      </c>
      <c r="H110" s="217">
        <v>46430.0</v>
      </c>
      <c r="I110" s="216" t="s">
        <v>143</v>
      </c>
    </row>
    <row r="111" ht="33.75" customHeight="1">
      <c r="B111" s="4"/>
      <c r="C111" s="220">
        <v>46020.0</v>
      </c>
      <c r="D111" s="216" t="s">
        <v>273</v>
      </c>
      <c r="E111" s="221" t="s">
        <v>356</v>
      </c>
      <c r="F111" s="216">
        <v>39461.89</v>
      </c>
      <c r="G111" s="218">
        <v>7103.16</v>
      </c>
      <c r="H111" s="217">
        <v>46565.0</v>
      </c>
      <c r="I111" s="216" t="s">
        <v>147</v>
      </c>
    </row>
    <row r="112" ht="33.75" customHeight="1">
      <c r="B112" s="4"/>
      <c r="C112" s="215">
        <v>46020.0</v>
      </c>
      <c r="D112" s="216" t="s">
        <v>273</v>
      </c>
      <c r="E112" s="217" t="s">
        <v>361</v>
      </c>
      <c r="F112" s="216">
        <v>33474.67</v>
      </c>
      <c r="G112" s="218">
        <v>6025.46</v>
      </c>
      <c r="H112" s="217">
        <v>39500.0</v>
      </c>
      <c r="I112" s="216" t="s">
        <v>160</v>
      </c>
    </row>
    <row r="113" ht="33.75" customHeight="1">
      <c r="B113" s="4"/>
      <c r="C113" s="220">
        <v>46020.0</v>
      </c>
      <c r="D113" s="216" t="s">
        <v>273</v>
      </c>
      <c r="E113" s="221" t="s">
        <v>366</v>
      </c>
      <c r="F113" s="216">
        <v>29144.08</v>
      </c>
      <c r="G113" s="218">
        <v>5245.9</v>
      </c>
      <c r="H113" s="217">
        <v>34390.0</v>
      </c>
      <c r="I113" s="216" t="s">
        <v>160</v>
      </c>
    </row>
    <row r="114" ht="33.75" customHeight="1">
      <c r="B114" s="4"/>
      <c r="C114" s="215">
        <v>46020.0</v>
      </c>
      <c r="D114" s="216" t="s">
        <v>273</v>
      </c>
      <c r="E114" s="217" t="s">
        <v>372</v>
      </c>
      <c r="F114" s="216">
        <v>3593.22</v>
      </c>
      <c r="G114" s="218">
        <v>646.78</v>
      </c>
      <c r="H114" s="217">
        <v>4240.0</v>
      </c>
      <c r="I114" s="216" t="s">
        <v>132</v>
      </c>
    </row>
    <row r="115">
      <c r="B115" s="4"/>
      <c r="C115" s="220">
        <v>46020.0</v>
      </c>
      <c r="D115" s="216" t="s">
        <v>273</v>
      </c>
      <c r="E115" s="221" t="s">
        <v>376</v>
      </c>
      <c r="F115" s="216">
        <v>6813.54</v>
      </c>
      <c r="G115" s="218">
        <v>1226.42</v>
      </c>
      <c r="H115" s="217">
        <v>8040.0</v>
      </c>
      <c r="I115" s="216" t="s">
        <v>160</v>
      </c>
    </row>
    <row r="116">
      <c r="B116" s="4"/>
      <c r="C116" s="215">
        <v>46020.0</v>
      </c>
      <c r="D116" s="216" t="s">
        <v>273</v>
      </c>
      <c r="E116" s="217" t="s">
        <v>381</v>
      </c>
      <c r="F116" s="216">
        <v>5652.5</v>
      </c>
      <c r="G116" s="218">
        <v>1017.44</v>
      </c>
      <c r="H116" s="217">
        <v>6670.0</v>
      </c>
      <c r="I116" s="216" t="s">
        <v>143</v>
      </c>
    </row>
    <row r="117">
      <c r="B117" s="4"/>
      <c r="C117" s="220">
        <v>46020.0</v>
      </c>
      <c r="D117" s="216" t="s">
        <v>273</v>
      </c>
      <c r="E117" s="221" t="s">
        <v>384</v>
      </c>
      <c r="F117" s="216">
        <v>27477.96</v>
      </c>
      <c r="G117" s="218">
        <v>4946.04</v>
      </c>
      <c r="H117" s="217">
        <v>32424.0</v>
      </c>
      <c r="I117" s="216" t="s">
        <v>93</v>
      </c>
    </row>
    <row r="118">
      <c r="B118" s="4"/>
      <c r="C118" s="215">
        <v>46020.0</v>
      </c>
      <c r="D118" s="216" t="s">
        <v>273</v>
      </c>
      <c r="E118" s="217" t="s">
        <v>386</v>
      </c>
      <c r="F118" s="216">
        <v>23347.56</v>
      </c>
      <c r="G118" s="218">
        <v>4202.58</v>
      </c>
      <c r="H118" s="217">
        <v>27550.0</v>
      </c>
      <c r="I118" s="216" t="s">
        <v>297</v>
      </c>
    </row>
    <row r="119">
      <c r="B119" s="4"/>
      <c r="C119" s="215">
        <v>46048.0</v>
      </c>
      <c r="D119" s="216" t="s">
        <v>273</v>
      </c>
      <c r="E119" s="217" t="s">
        <v>390</v>
      </c>
      <c r="F119" s="216">
        <v>1093.23</v>
      </c>
      <c r="G119" s="218">
        <v>196.78</v>
      </c>
      <c r="H119" s="217">
        <v>1290.0</v>
      </c>
      <c r="I119" s="216" t="s">
        <v>168</v>
      </c>
    </row>
    <row r="120">
      <c r="B120" s="4"/>
      <c r="C120" s="220">
        <v>46048.0</v>
      </c>
      <c r="D120" s="216" t="s">
        <v>273</v>
      </c>
      <c r="E120" s="221" t="s">
        <v>393</v>
      </c>
      <c r="F120" s="216">
        <v>25228.64</v>
      </c>
      <c r="G120" s="218">
        <v>4541.18</v>
      </c>
      <c r="H120" s="217">
        <v>29770.0</v>
      </c>
      <c r="I120" s="216" t="s">
        <v>57</v>
      </c>
    </row>
    <row r="121">
      <c r="B121" s="4"/>
      <c r="C121" s="215">
        <v>46048.0</v>
      </c>
      <c r="D121" s="216" t="s">
        <v>273</v>
      </c>
      <c r="E121" s="217" t="s">
        <v>395</v>
      </c>
      <c r="F121" s="216">
        <v>2426.21</v>
      </c>
      <c r="G121" s="218">
        <v>436.7</v>
      </c>
      <c r="H121" s="217">
        <v>2863.0</v>
      </c>
      <c r="I121" s="216" t="s">
        <v>208</v>
      </c>
    </row>
    <row r="122">
      <c r="B122" s="4"/>
      <c r="C122" s="220">
        <v>46048.0</v>
      </c>
      <c r="D122" s="216" t="s">
        <v>273</v>
      </c>
      <c r="E122" s="221" t="s">
        <v>398</v>
      </c>
      <c r="F122" s="216">
        <v>12512.63</v>
      </c>
      <c r="G122" s="218">
        <v>2252.26</v>
      </c>
      <c r="H122" s="217">
        <v>14765.0</v>
      </c>
      <c r="I122" s="216" t="s">
        <v>136</v>
      </c>
    </row>
    <row r="123">
      <c r="B123" s="4"/>
      <c r="C123" s="215">
        <v>46048.0</v>
      </c>
      <c r="D123" s="216" t="s">
        <v>273</v>
      </c>
      <c r="E123" s="217" t="s">
        <v>401</v>
      </c>
      <c r="F123" s="216">
        <v>26415.17</v>
      </c>
      <c r="G123" s="218">
        <v>4754.76</v>
      </c>
      <c r="H123" s="217">
        <v>31170.0</v>
      </c>
      <c r="I123" s="216" t="s">
        <v>104</v>
      </c>
    </row>
    <row r="124">
      <c r="B124" s="4"/>
      <c r="C124" s="220">
        <v>46048.0</v>
      </c>
      <c r="D124" s="216" t="s">
        <v>273</v>
      </c>
      <c r="E124" s="221" t="s">
        <v>403</v>
      </c>
      <c r="F124" s="216">
        <v>4135.55</v>
      </c>
      <c r="G124" s="218">
        <v>744.42</v>
      </c>
      <c r="H124" s="217">
        <v>4880.0</v>
      </c>
      <c r="I124" s="216" t="s">
        <v>159</v>
      </c>
    </row>
    <row r="125">
      <c r="B125" s="4"/>
      <c r="C125" s="215">
        <v>46048.0</v>
      </c>
      <c r="D125" s="216" t="s">
        <v>273</v>
      </c>
      <c r="E125" s="217" t="s">
        <v>405</v>
      </c>
      <c r="F125" s="216">
        <v>28084.68</v>
      </c>
      <c r="G125" s="218">
        <v>5055.26</v>
      </c>
      <c r="H125" s="217">
        <v>33140.0</v>
      </c>
      <c r="I125" s="216" t="s">
        <v>121</v>
      </c>
    </row>
    <row r="126">
      <c r="B126" s="4"/>
      <c r="C126" s="220">
        <v>46048.0</v>
      </c>
      <c r="D126" s="216" t="s">
        <v>273</v>
      </c>
      <c r="E126" s="221" t="s">
        <v>408</v>
      </c>
      <c r="F126" s="216">
        <v>30627.07</v>
      </c>
      <c r="G126" s="218">
        <v>5512.92</v>
      </c>
      <c r="H126" s="217">
        <v>36140.0</v>
      </c>
      <c r="I126" s="216" t="s">
        <v>120</v>
      </c>
    </row>
    <row r="127">
      <c r="B127" s="4"/>
      <c r="C127" s="215">
        <v>46048.0</v>
      </c>
      <c r="D127" s="216" t="s">
        <v>273</v>
      </c>
      <c r="E127" s="217" t="s">
        <v>411</v>
      </c>
      <c r="F127" s="216">
        <v>10275.39</v>
      </c>
      <c r="G127" s="218">
        <v>1849.56</v>
      </c>
      <c r="H127" s="217">
        <v>12125.0</v>
      </c>
      <c r="I127" s="216" t="s">
        <v>147</v>
      </c>
    </row>
    <row r="128">
      <c r="B128" s="4"/>
      <c r="C128" s="220">
        <v>46048.0</v>
      </c>
      <c r="D128" s="216" t="s">
        <v>273</v>
      </c>
      <c r="E128" s="221" t="s">
        <v>414</v>
      </c>
      <c r="F128" s="216">
        <v>12440.68</v>
      </c>
      <c r="G128" s="218">
        <v>2239.34</v>
      </c>
      <c r="H128" s="217">
        <v>14680.0</v>
      </c>
      <c r="I128" s="216" t="s">
        <v>208</v>
      </c>
    </row>
    <row r="129">
      <c r="B129" s="4"/>
      <c r="C129" s="215">
        <v>46048.0</v>
      </c>
      <c r="D129" s="216" t="s">
        <v>273</v>
      </c>
      <c r="E129" s="217" t="s">
        <v>417</v>
      </c>
      <c r="F129" s="216">
        <v>3084.74</v>
      </c>
      <c r="G129" s="218">
        <v>555.26</v>
      </c>
      <c r="H129" s="217">
        <v>3640.0</v>
      </c>
      <c r="I129" s="216" t="s">
        <v>132</v>
      </c>
    </row>
    <row r="130">
      <c r="B130" s="4"/>
      <c r="C130" s="220">
        <v>46048.0</v>
      </c>
      <c r="D130" s="216" t="s">
        <v>273</v>
      </c>
      <c r="E130" s="221" t="s">
        <v>418</v>
      </c>
      <c r="F130" s="216">
        <v>559.31</v>
      </c>
      <c r="G130" s="218">
        <v>100.68</v>
      </c>
      <c r="H130" s="217">
        <v>660.0</v>
      </c>
      <c r="I130" s="216" t="s">
        <v>190</v>
      </c>
    </row>
    <row r="131">
      <c r="B131" s="4"/>
      <c r="C131" s="215">
        <v>46048.0</v>
      </c>
      <c r="D131" s="216" t="s">
        <v>273</v>
      </c>
      <c r="E131" s="217" t="s">
        <v>419</v>
      </c>
      <c r="F131" s="216">
        <v>1309.33</v>
      </c>
      <c r="G131" s="218">
        <v>235.68</v>
      </c>
      <c r="H131" s="217">
        <v>1545.0</v>
      </c>
      <c r="I131" s="216" t="s">
        <v>93</v>
      </c>
    </row>
    <row r="132">
      <c r="B132" s="4"/>
      <c r="C132" s="220">
        <v>46048.0</v>
      </c>
      <c r="D132" s="216" t="s">
        <v>273</v>
      </c>
      <c r="E132" s="221" t="s">
        <v>421</v>
      </c>
      <c r="F132" s="216">
        <v>2190.67</v>
      </c>
      <c r="G132" s="218">
        <v>394.3</v>
      </c>
      <c r="H132" s="217">
        <v>2585.0</v>
      </c>
      <c r="I132" s="216" t="s">
        <v>160</v>
      </c>
    </row>
    <row r="133">
      <c r="B133" s="4"/>
      <c r="C133" s="215">
        <v>46048.0</v>
      </c>
      <c r="D133" s="216" t="s">
        <v>273</v>
      </c>
      <c r="E133" s="217" t="s">
        <v>422</v>
      </c>
      <c r="F133" s="216">
        <v>4198.27</v>
      </c>
      <c r="G133" s="218">
        <v>755.72</v>
      </c>
      <c r="H133" s="217">
        <v>4954.0</v>
      </c>
      <c r="I133" s="216" t="s">
        <v>57</v>
      </c>
    </row>
    <row r="134">
      <c r="B134" s="4"/>
      <c r="C134" s="220">
        <v>46049.0</v>
      </c>
      <c r="D134" s="216" t="s">
        <v>273</v>
      </c>
      <c r="E134" s="221" t="s">
        <v>424</v>
      </c>
      <c r="F134" s="216">
        <v>491.53</v>
      </c>
      <c r="G134" s="218">
        <v>88.48</v>
      </c>
      <c r="H134" s="217">
        <v>580.0</v>
      </c>
      <c r="I134" s="216" t="s">
        <v>143</v>
      </c>
    </row>
    <row r="135">
      <c r="B135" s="4"/>
      <c r="C135" s="215">
        <v>46049.0</v>
      </c>
      <c r="D135" s="216" t="s">
        <v>273</v>
      </c>
      <c r="E135" s="217" t="s">
        <v>426</v>
      </c>
      <c r="F135" s="216">
        <v>9915.24</v>
      </c>
      <c r="G135" s="218">
        <v>1784.74</v>
      </c>
      <c r="H135" s="217">
        <v>11700.0</v>
      </c>
      <c r="I135" s="216" t="s">
        <v>160</v>
      </c>
    </row>
    <row r="136">
      <c r="B136" s="4"/>
      <c r="C136" s="220">
        <v>46049.0</v>
      </c>
      <c r="D136" s="216" t="s">
        <v>273</v>
      </c>
      <c r="E136" s="221" t="s">
        <v>427</v>
      </c>
      <c r="F136" s="216">
        <v>19879.64</v>
      </c>
      <c r="G136" s="218">
        <v>3578.34</v>
      </c>
      <c r="H136" s="217">
        <v>23458.0</v>
      </c>
      <c r="I136" s="216" t="s">
        <v>208</v>
      </c>
    </row>
    <row r="137">
      <c r="B137" s="4"/>
      <c r="C137" s="215">
        <v>46049.0</v>
      </c>
      <c r="D137" s="216" t="s">
        <v>273</v>
      </c>
      <c r="E137" s="217" t="s">
        <v>428</v>
      </c>
      <c r="F137" s="216">
        <v>2177.94</v>
      </c>
      <c r="G137" s="218">
        <v>392.04</v>
      </c>
      <c r="H137" s="217">
        <v>2570.0</v>
      </c>
      <c r="I137" s="216" t="s">
        <v>147</v>
      </c>
    </row>
    <row r="138">
      <c r="B138" s="4"/>
      <c r="C138" s="220">
        <v>46049.0</v>
      </c>
      <c r="D138" s="216" t="s">
        <v>273</v>
      </c>
      <c r="E138" s="221" t="s">
        <v>429</v>
      </c>
      <c r="F138" s="216">
        <v>437.28</v>
      </c>
      <c r="G138" s="218">
        <v>78.7</v>
      </c>
      <c r="H138" s="217">
        <v>516.0</v>
      </c>
      <c r="I138" s="216" t="s">
        <v>168</v>
      </c>
    </row>
    <row r="139">
      <c r="B139" s="4"/>
      <c r="C139" s="215">
        <v>46049.0</v>
      </c>
      <c r="D139" s="216" t="s">
        <v>273</v>
      </c>
      <c r="E139" s="217" t="s">
        <v>430</v>
      </c>
      <c r="F139" s="216">
        <v>10371.2</v>
      </c>
      <c r="G139" s="218">
        <v>1866.82</v>
      </c>
      <c r="H139" s="217">
        <v>12238.0</v>
      </c>
      <c r="I139" s="216" t="s">
        <v>132</v>
      </c>
    </row>
    <row r="140">
      <c r="B140" s="4"/>
      <c r="C140" s="220">
        <v>46049.0</v>
      </c>
      <c r="D140" s="216" t="s">
        <v>273</v>
      </c>
      <c r="E140" s="221" t="s">
        <v>431</v>
      </c>
      <c r="F140" s="216">
        <v>37745.79</v>
      </c>
      <c r="G140" s="218">
        <v>6794.26</v>
      </c>
      <c r="H140" s="217">
        <v>44540.0</v>
      </c>
      <c r="I140" s="216" t="s">
        <v>132</v>
      </c>
    </row>
    <row r="141">
      <c r="B141" s="4"/>
      <c r="C141" s="215">
        <v>46049.0</v>
      </c>
      <c r="D141" s="216" t="s">
        <v>273</v>
      </c>
      <c r="E141" s="217" t="s">
        <v>432</v>
      </c>
      <c r="F141" s="216">
        <v>11220.35</v>
      </c>
      <c r="G141" s="218">
        <v>2019.68</v>
      </c>
      <c r="H141" s="217">
        <v>13240.0</v>
      </c>
      <c r="I141" s="216" t="s">
        <v>132</v>
      </c>
    </row>
    <row r="142">
      <c r="B142" s="4"/>
      <c r="C142" s="220">
        <v>46049.0</v>
      </c>
      <c r="D142" s="216" t="s">
        <v>273</v>
      </c>
      <c r="E142" s="221" t="s">
        <v>433</v>
      </c>
      <c r="F142" s="216">
        <v>7398.39</v>
      </c>
      <c r="G142" s="218">
        <v>1331.72</v>
      </c>
      <c r="H142" s="217">
        <v>8730.0</v>
      </c>
      <c r="I142" s="216" t="s">
        <v>297</v>
      </c>
    </row>
    <row r="143">
      <c r="B143" s="4"/>
      <c r="C143" s="215">
        <v>46078.0</v>
      </c>
      <c r="D143" s="216" t="s">
        <v>273</v>
      </c>
      <c r="E143" s="217" t="s">
        <v>434</v>
      </c>
      <c r="F143" s="216">
        <v>37525.5</v>
      </c>
      <c r="G143" s="218">
        <v>6754.64</v>
      </c>
      <c r="H143" s="217">
        <v>44280.0</v>
      </c>
      <c r="I143" s="216" t="s">
        <v>208</v>
      </c>
    </row>
    <row r="144">
      <c r="B144" s="4"/>
      <c r="C144" s="220">
        <v>46078.0</v>
      </c>
      <c r="D144" s="216" t="s">
        <v>273</v>
      </c>
      <c r="E144" s="221" t="s">
        <v>435</v>
      </c>
      <c r="F144" s="216">
        <v>12516.96</v>
      </c>
      <c r="G144" s="218">
        <v>2253.02</v>
      </c>
      <c r="H144" s="217">
        <v>14770.0</v>
      </c>
      <c r="I144" s="216" t="s">
        <v>208</v>
      </c>
    </row>
    <row r="145">
      <c r="B145" s="4"/>
      <c r="C145" s="215">
        <v>46078.0</v>
      </c>
      <c r="D145" s="216" t="s">
        <v>273</v>
      </c>
      <c r="E145" s="217" t="s">
        <v>436</v>
      </c>
      <c r="F145" s="216">
        <v>15288.1</v>
      </c>
      <c r="G145" s="218">
        <v>2751.84</v>
      </c>
      <c r="H145" s="217">
        <v>18040.0</v>
      </c>
      <c r="I145" s="216" t="s">
        <v>147</v>
      </c>
    </row>
    <row r="146">
      <c r="B146" s="4"/>
      <c r="C146" s="220">
        <v>46078.0</v>
      </c>
      <c r="D146" s="216" t="s">
        <v>273</v>
      </c>
      <c r="E146" s="221" t="s">
        <v>437</v>
      </c>
      <c r="F146" s="216">
        <v>11540.72</v>
      </c>
      <c r="G146" s="218">
        <v>2077.32</v>
      </c>
      <c r="H146" s="217">
        <v>13618.0</v>
      </c>
      <c r="I146" s="216" t="s">
        <v>159</v>
      </c>
    </row>
    <row r="147">
      <c r="B147" s="4"/>
      <c r="C147" s="215">
        <v>46078.0</v>
      </c>
      <c r="D147" s="216" t="s">
        <v>273</v>
      </c>
      <c r="E147" s="217" t="s">
        <v>439</v>
      </c>
      <c r="F147" s="216">
        <v>26203.33</v>
      </c>
      <c r="G147" s="218">
        <v>4716.66</v>
      </c>
      <c r="H147" s="217">
        <v>30920.0</v>
      </c>
      <c r="I147" s="216" t="s">
        <v>136</v>
      </c>
    </row>
    <row r="148">
      <c r="B148" s="4"/>
      <c r="C148" s="220">
        <v>46078.0</v>
      </c>
      <c r="D148" s="216" t="s">
        <v>273</v>
      </c>
      <c r="E148" s="221" t="s">
        <v>440</v>
      </c>
      <c r="F148" s="216">
        <v>372.88</v>
      </c>
      <c r="G148" s="218">
        <v>67.12</v>
      </c>
      <c r="H148" s="217">
        <v>440.0</v>
      </c>
      <c r="I148" s="216" t="s">
        <v>57</v>
      </c>
    </row>
    <row r="149">
      <c r="B149" s="4"/>
      <c r="C149" s="215">
        <v>46078.0</v>
      </c>
      <c r="D149" s="216" t="s">
        <v>273</v>
      </c>
      <c r="E149" s="217" t="s">
        <v>441</v>
      </c>
      <c r="F149" s="216">
        <v>5581.35</v>
      </c>
      <c r="G149" s="218">
        <v>1004.68</v>
      </c>
      <c r="H149" s="217">
        <v>6586.0</v>
      </c>
      <c r="I149" s="216" t="s">
        <v>93</v>
      </c>
    </row>
    <row r="150">
      <c r="B150" s="4"/>
      <c r="C150" s="220">
        <v>46078.0</v>
      </c>
      <c r="D150" s="216" t="s">
        <v>273</v>
      </c>
      <c r="E150" s="221" t="s">
        <v>442</v>
      </c>
      <c r="F150" s="216">
        <v>1088.99</v>
      </c>
      <c r="G150" s="218">
        <v>196.04</v>
      </c>
      <c r="H150" s="217">
        <v>1285.0</v>
      </c>
      <c r="I150" s="216" t="s">
        <v>160</v>
      </c>
    </row>
    <row r="151">
      <c r="B151" s="4"/>
      <c r="C151" s="215">
        <v>46078.0</v>
      </c>
      <c r="D151" s="216" t="s">
        <v>273</v>
      </c>
      <c r="E151" s="217" t="s">
        <v>444</v>
      </c>
      <c r="F151" s="216">
        <v>775.41</v>
      </c>
      <c r="G151" s="218">
        <v>139.58</v>
      </c>
      <c r="H151" s="217">
        <v>915.0</v>
      </c>
      <c r="I151" s="216" t="s">
        <v>168</v>
      </c>
    </row>
    <row r="152">
      <c r="B152" s="4"/>
      <c r="C152" s="220">
        <v>46078.0</v>
      </c>
      <c r="D152" s="216" t="s">
        <v>273</v>
      </c>
      <c r="E152" s="221" t="s">
        <v>445</v>
      </c>
      <c r="F152" s="216">
        <v>1487.38</v>
      </c>
      <c r="G152" s="218">
        <v>267.72</v>
      </c>
      <c r="H152" s="217">
        <v>1755.0</v>
      </c>
      <c r="I152" s="216" t="s">
        <v>190</v>
      </c>
    </row>
    <row r="153">
      <c r="B153" s="4"/>
      <c r="C153" s="215">
        <v>46078.0</v>
      </c>
      <c r="D153" s="216" t="s">
        <v>273</v>
      </c>
      <c r="E153" s="217" t="s">
        <v>446</v>
      </c>
      <c r="F153" s="216">
        <v>40694.95</v>
      </c>
      <c r="G153" s="218">
        <v>7325.12</v>
      </c>
      <c r="H153" s="217">
        <v>48020.0</v>
      </c>
      <c r="I153" s="216" t="s">
        <v>159</v>
      </c>
    </row>
    <row r="154">
      <c r="B154" s="4"/>
      <c r="C154" s="220">
        <v>46078.0</v>
      </c>
      <c r="D154" s="216" t="s">
        <v>273</v>
      </c>
      <c r="E154" s="221" t="s">
        <v>448</v>
      </c>
      <c r="F154" s="216">
        <v>4949.11</v>
      </c>
      <c r="G154" s="218">
        <v>890.86</v>
      </c>
      <c r="H154" s="217">
        <v>5840.0</v>
      </c>
      <c r="I154" s="216" t="s">
        <v>160</v>
      </c>
    </row>
    <row r="155">
      <c r="B155" s="4"/>
      <c r="C155" s="215">
        <v>46078.0</v>
      </c>
      <c r="D155" s="216" t="s">
        <v>273</v>
      </c>
      <c r="E155" s="217" t="s">
        <v>449</v>
      </c>
      <c r="F155" s="216">
        <v>2110.15</v>
      </c>
      <c r="G155" s="218">
        <v>379.82</v>
      </c>
      <c r="H155" s="217">
        <v>2490.0</v>
      </c>
      <c r="I155" s="216" t="s">
        <v>136</v>
      </c>
    </row>
    <row r="156">
      <c r="B156" s="4"/>
      <c r="C156" s="220">
        <v>46078.0</v>
      </c>
      <c r="D156" s="216" t="s">
        <v>273</v>
      </c>
      <c r="E156" s="221" t="s">
        <v>450</v>
      </c>
      <c r="F156" s="216">
        <v>2805.07</v>
      </c>
      <c r="G156" s="218">
        <v>504.9</v>
      </c>
      <c r="H156" s="217">
        <v>3310.0</v>
      </c>
      <c r="I156" s="216" t="s">
        <v>155</v>
      </c>
    </row>
    <row r="157">
      <c r="B157" s="4"/>
      <c r="C157" s="215">
        <v>46078.0</v>
      </c>
      <c r="D157" s="216" t="s">
        <v>273</v>
      </c>
      <c r="E157" s="217" t="s">
        <v>451</v>
      </c>
      <c r="F157" s="216">
        <v>584.74</v>
      </c>
      <c r="G157" s="218">
        <v>105.26</v>
      </c>
      <c r="H157" s="217">
        <v>690.0</v>
      </c>
      <c r="I157" s="216" t="s">
        <v>181</v>
      </c>
    </row>
    <row r="158">
      <c r="B158" s="4"/>
      <c r="C158" s="220">
        <v>46078.0</v>
      </c>
      <c r="D158" s="216" t="s">
        <v>273</v>
      </c>
      <c r="E158" s="221" t="s">
        <v>452</v>
      </c>
      <c r="F158" s="216">
        <v>211.86</v>
      </c>
      <c r="G158" s="218">
        <v>38.14</v>
      </c>
      <c r="H158" s="217">
        <v>250.0</v>
      </c>
      <c r="I158" s="216" t="s">
        <v>132</v>
      </c>
    </row>
    <row r="159">
      <c r="B159" s="4"/>
      <c r="C159" s="215">
        <v>46078.0</v>
      </c>
      <c r="D159" s="216" t="s">
        <v>273</v>
      </c>
      <c r="E159" s="217" t="s">
        <v>453</v>
      </c>
      <c r="F159" s="216">
        <v>37372.69</v>
      </c>
      <c r="G159" s="218">
        <v>6907.06</v>
      </c>
      <c r="H159" s="217">
        <v>45280.0</v>
      </c>
      <c r="I159" s="216" t="s">
        <v>155</v>
      </c>
    </row>
    <row r="160">
      <c r="B160" s="4"/>
      <c r="C160" s="220">
        <v>46078.0</v>
      </c>
      <c r="D160" s="216" t="s">
        <v>273</v>
      </c>
      <c r="E160" s="221" t="s">
        <v>455</v>
      </c>
      <c r="F160" s="216">
        <v>11694.94</v>
      </c>
      <c r="G160" s="218">
        <v>2105.1</v>
      </c>
      <c r="H160" s="217">
        <v>13800.0</v>
      </c>
      <c r="I160" s="216" t="s">
        <v>155</v>
      </c>
    </row>
    <row r="161">
      <c r="B161" s="4"/>
      <c r="C161" s="215">
        <v>46078.0</v>
      </c>
      <c r="D161" s="216" t="s">
        <v>273</v>
      </c>
      <c r="E161" s="217" t="s">
        <v>456</v>
      </c>
      <c r="F161" s="216">
        <v>2466.09</v>
      </c>
      <c r="G161" s="218">
        <v>443.9</v>
      </c>
      <c r="H161" s="217">
        <v>2910.0</v>
      </c>
      <c r="I161" s="216" t="s">
        <v>57</v>
      </c>
    </row>
    <row r="162">
      <c r="B162" s="4"/>
      <c r="C162" s="220">
        <v>46078.0</v>
      </c>
      <c r="D162" s="216" t="s">
        <v>273</v>
      </c>
      <c r="E162" s="221" t="s">
        <v>457</v>
      </c>
      <c r="F162" s="216">
        <v>2542.38</v>
      </c>
      <c r="G162" s="218">
        <v>457.62</v>
      </c>
      <c r="H162" s="217">
        <v>3000.0</v>
      </c>
      <c r="I162" s="216" t="s">
        <v>132</v>
      </c>
    </row>
    <row r="163">
      <c r="B163" s="4"/>
      <c r="C163" s="215">
        <v>46078.0</v>
      </c>
      <c r="D163" s="216" t="s">
        <v>273</v>
      </c>
      <c r="E163" s="217" t="s">
        <v>458</v>
      </c>
      <c r="F163" s="216">
        <v>2118.65</v>
      </c>
      <c r="G163" s="218">
        <v>381.34</v>
      </c>
      <c r="H163" s="217">
        <v>2500.0</v>
      </c>
      <c r="I163" s="216" t="s">
        <v>132</v>
      </c>
    </row>
    <row r="164">
      <c r="B164" s="4"/>
      <c r="C164" s="220">
        <v>46079.0</v>
      </c>
      <c r="D164" s="216" t="s">
        <v>273</v>
      </c>
      <c r="E164" s="221" t="s">
        <v>459</v>
      </c>
      <c r="F164" s="216">
        <v>9576.28</v>
      </c>
      <c r="G164" s="218">
        <v>1723.74</v>
      </c>
      <c r="H164" s="217">
        <v>11300.0</v>
      </c>
      <c r="I164" s="216" t="s">
        <v>168</v>
      </c>
    </row>
    <row r="165">
      <c r="B165" s="4"/>
      <c r="C165" s="215">
        <v>46079.0</v>
      </c>
      <c r="D165" s="216" t="s">
        <v>273</v>
      </c>
      <c r="E165" s="217" t="s">
        <v>460</v>
      </c>
      <c r="F165" s="216">
        <v>2533.89</v>
      </c>
      <c r="G165" s="218">
        <v>456.1</v>
      </c>
      <c r="H165" s="217">
        <v>2990.0</v>
      </c>
      <c r="I165" s="216" t="s">
        <v>93</v>
      </c>
    </row>
    <row r="166">
      <c r="B166" s="4"/>
      <c r="C166" s="220">
        <v>46079.0</v>
      </c>
      <c r="D166" s="216" t="s">
        <v>273</v>
      </c>
      <c r="E166" s="221" t="s">
        <v>461</v>
      </c>
      <c r="F166" s="216">
        <v>29152.53</v>
      </c>
      <c r="G166" s="218">
        <v>5247.46</v>
      </c>
      <c r="H166" s="217">
        <v>34400.0</v>
      </c>
      <c r="I166" s="216" t="s">
        <v>143</v>
      </c>
    </row>
    <row r="167">
      <c r="B167" s="4"/>
      <c r="C167" s="215">
        <v>46079.0</v>
      </c>
      <c r="D167" s="216" t="s">
        <v>273</v>
      </c>
      <c r="E167" s="217" t="s">
        <v>462</v>
      </c>
      <c r="F167" s="216">
        <v>20423.72</v>
      </c>
      <c r="G167" s="218">
        <v>3676.26</v>
      </c>
      <c r="H167" s="217">
        <v>24100.0</v>
      </c>
      <c r="I167" s="216" t="s">
        <v>297</v>
      </c>
    </row>
    <row r="168">
      <c r="B168" s="4"/>
      <c r="C168" s="215">
        <v>46110.0</v>
      </c>
      <c r="D168" s="216" t="s">
        <v>273</v>
      </c>
      <c r="E168" s="217" t="s">
        <v>463</v>
      </c>
      <c r="F168" s="216">
        <v>18983.05</v>
      </c>
      <c r="G168" s="218">
        <v>3416.94</v>
      </c>
      <c r="H168" s="217">
        <v>22400.0</v>
      </c>
      <c r="I168" s="216" t="s">
        <v>132</v>
      </c>
    </row>
    <row r="169">
      <c r="B169" s="4"/>
      <c r="C169" s="220">
        <v>46110.0</v>
      </c>
      <c r="D169" s="216" t="s">
        <v>273</v>
      </c>
      <c r="E169" s="221" t="s">
        <v>465</v>
      </c>
      <c r="F169" s="216">
        <v>1271.19</v>
      </c>
      <c r="G169" s="218">
        <v>228.82</v>
      </c>
      <c r="H169" s="217">
        <v>1500.0</v>
      </c>
      <c r="I169" s="216" t="s">
        <v>168</v>
      </c>
    </row>
    <row r="170">
      <c r="B170" s="4"/>
      <c r="C170" s="215">
        <v>46110.0</v>
      </c>
      <c r="D170" s="216" t="s">
        <v>273</v>
      </c>
      <c r="E170" s="217" t="s">
        <v>466</v>
      </c>
      <c r="F170" s="216">
        <v>2194.91</v>
      </c>
      <c r="G170" s="218">
        <v>395.08</v>
      </c>
      <c r="H170" s="217">
        <v>2590.0</v>
      </c>
      <c r="I170" s="216" t="s">
        <v>143</v>
      </c>
    </row>
    <row r="171">
      <c r="B171" s="4"/>
      <c r="C171" s="220">
        <v>46111.0</v>
      </c>
      <c r="D171" s="216" t="s">
        <v>273</v>
      </c>
      <c r="E171" s="221" t="s">
        <v>467</v>
      </c>
      <c r="F171" s="216">
        <v>4874.55</v>
      </c>
      <c r="G171" s="218">
        <v>877.44</v>
      </c>
      <c r="H171" s="217">
        <v>5752.0</v>
      </c>
      <c r="I171" s="216" t="s">
        <v>132</v>
      </c>
    </row>
    <row r="172">
      <c r="B172" s="4"/>
      <c r="C172" s="215">
        <v>46111.0</v>
      </c>
      <c r="D172" s="216" t="s">
        <v>273</v>
      </c>
      <c r="E172" s="217" t="s">
        <v>468</v>
      </c>
      <c r="F172" s="216">
        <v>161.01</v>
      </c>
      <c r="G172" s="218">
        <v>29.0</v>
      </c>
      <c r="H172" s="217">
        <v>190.0</v>
      </c>
      <c r="I172" s="216" t="s">
        <v>181</v>
      </c>
    </row>
    <row r="173">
      <c r="B173" s="4"/>
      <c r="C173" s="220">
        <v>46111.0</v>
      </c>
      <c r="D173" s="216" t="s">
        <v>273</v>
      </c>
      <c r="E173" s="221" t="s">
        <v>469</v>
      </c>
      <c r="F173" s="216">
        <v>6694.91</v>
      </c>
      <c r="G173" s="218">
        <v>1205.06</v>
      </c>
      <c r="H173" s="217">
        <v>7900.0</v>
      </c>
      <c r="I173" s="216" t="s">
        <v>121</v>
      </c>
    </row>
    <row r="174">
      <c r="B174" s="4"/>
      <c r="C174" s="215">
        <v>46111.0</v>
      </c>
      <c r="D174" s="216" t="s">
        <v>273</v>
      </c>
      <c r="E174" s="217" t="s">
        <v>471</v>
      </c>
      <c r="F174" s="216">
        <v>3008.48</v>
      </c>
      <c r="G174" s="218">
        <v>541.52</v>
      </c>
      <c r="H174" s="217">
        <v>3550.0</v>
      </c>
      <c r="I174" s="216" t="s">
        <v>147</v>
      </c>
    </row>
    <row r="175">
      <c r="B175" s="4"/>
      <c r="C175" s="220">
        <v>46111.0</v>
      </c>
      <c r="D175" s="216" t="s">
        <v>273</v>
      </c>
      <c r="E175" s="221" t="s">
        <v>472</v>
      </c>
      <c r="F175" s="216">
        <v>32381.31</v>
      </c>
      <c r="G175" s="218">
        <v>5828.64</v>
      </c>
      <c r="H175" s="217">
        <v>38210.0</v>
      </c>
      <c r="I175" s="216" t="s">
        <v>143</v>
      </c>
    </row>
    <row r="176">
      <c r="B176" s="4"/>
      <c r="C176" s="215">
        <v>46111.0</v>
      </c>
      <c r="D176" s="216" t="s">
        <v>273</v>
      </c>
      <c r="E176" s="217" t="s">
        <v>473</v>
      </c>
      <c r="F176" s="216">
        <v>1622.86</v>
      </c>
      <c r="G176" s="218">
        <v>292.12</v>
      </c>
      <c r="H176" s="217">
        <v>1915.0</v>
      </c>
      <c r="I176" s="216" t="s">
        <v>136</v>
      </c>
    </row>
    <row r="177">
      <c r="B177" s="4"/>
      <c r="C177" s="220">
        <v>46111.0</v>
      </c>
      <c r="D177" s="216" t="s">
        <v>273</v>
      </c>
      <c r="E177" s="221" t="s">
        <v>474</v>
      </c>
      <c r="F177" s="216">
        <v>549.1</v>
      </c>
      <c r="G177" s="218">
        <v>98.86</v>
      </c>
      <c r="H177" s="217">
        <v>648.0</v>
      </c>
      <c r="I177" s="216" t="s">
        <v>120</v>
      </c>
    </row>
    <row r="178">
      <c r="B178" s="4"/>
      <c r="C178" s="215">
        <v>46111.0</v>
      </c>
      <c r="D178" s="216" t="s">
        <v>273</v>
      </c>
      <c r="E178" s="217" t="s">
        <v>475</v>
      </c>
      <c r="F178" s="216">
        <v>4652.53</v>
      </c>
      <c r="G178" s="218">
        <v>837.48</v>
      </c>
      <c r="H178" s="217">
        <v>5490.0</v>
      </c>
      <c r="I178" s="216" t="s">
        <v>159</v>
      </c>
    </row>
    <row r="179">
      <c r="B179" s="4"/>
      <c r="C179" s="220">
        <v>46111.0</v>
      </c>
      <c r="D179" s="216" t="s">
        <v>273</v>
      </c>
      <c r="E179" s="221" t="s">
        <v>476</v>
      </c>
      <c r="F179" s="216">
        <v>4737.28</v>
      </c>
      <c r="G179" s="218">
        <v>852.72</v>
      </c>
      <c r="H179" s="217">
        <v>5590.0</v>
      </c>
      <c r="I179" s="216" t="s">
        <v>208</v>
      </c>
    </row>
    <row r="180">
      <c r="B180" s="4"/>
      <c r="C180" s="215">
        <v>46111.0</v>
      </c>
      <c r="D180" s="216" t="s">
        <v>273</v>
      </c>
      <c r="E180" s="217" t="s">
        <v>478</v>
      </c>
      <c r="F180" s="216">
        <v>8076.27</v>
      </c>
      <c r="G180" s="218">
        <v>1453.72</v>
      </c>
      <c r="H180" s="217">
        <v>9530.0</v>
      </c>
      <c r="I180" s="216" t="s">
        <v>143</v>
      </c>
    </row>
    <row r="181">
      <c r="B181" s="4"/>
      <c r="C181" s="220">
        <v>46111.0</v>
      </c>
      <c r="D181" s="216" t="s">
        <v>273</v>
      </c>
      <c r="E181" s="221" t="s">
        <v>479</v>
      </c>
      <c r="F181" s="216">
        <v>6618.66</v>
      </c>
      <c r="G181" s="218">
        <v>1191.38</v>
      </c>
      <c r="H181" s="217">
        <v>7810.0</v>
      </c>
      <c r="I181" s="216" t="s">
        <v>93</v>
      </c>
    </row>
    <row r="182">
      <c r="B182" s="4"/>
      <c r="C182" s="215">
        <v>46111.0</v>
      </c>
      <c r="D182" s="216" t="s">
        <v>273</v>
      </c>
      <c r="E182" s="217" t="s">
        <v>480</v>
      </c>
      <c r="F182" s="216">
        <v>7229.66</v>
      </c>
      <c r="G182" s="218">
        <v>1301.34</v>
      </c>
      <c r="H182" s="217">
        <v>8531.0</v>
      </c>
      <c r="I182" s="216" t="s">
        <v>120</v>
      </c>
    </row>
    <row r="183">
      <c r="B183" s="4"/>
      <c r="C183" s="220">
        <v>46111.0</v>
      </c>
      <c r="D183" s="216" t="s">
        <v>273</v>
      </c>
      <c r="E183" s="221" t="s">
        <v>481</v>
      </c>
      <c r="F183" s="216">
        <v>11991.51</v>
      </c>
      <c r="G183" s="218">
        <v>2158.46</v>
      </c>
      <c r="H183" s="217">
        <v>14150.0</v>
      </c>
      <c r="I183" s="216" t="s">
        <v>93</v>
      </c>
    </row>
    <row r="184">
      <c r="B184" s="4"/>
      <c r="C184" s="215">
        <v>46111.0</v>
      </c>
      <c r="D184" s="216" t="s">
        <v>273</v>
      </c>
      <c r="E184" s="217" t="s">
        <v>482</v>
      </c>
      <c r="F184" s="216">
        <v>14142.28</v>
      </c>
      <c r="G184" s="218">
        <v>2545.64</v>
      </c>
      <c r="H184" s="217">
        <v>16688.0</v>
      </c>
      <c r="I184" s="216" t="s">
        <v>155</v>
      </c>
    </row>
    <row r="185">
      <c r="B185" s="4"/>
      <c r="C185" s="220">
        <v>46111.0</v>
      </c>
      <c r="D185" s="216" t="s">
        <v>273</v>
      </c>
      <c r="E185" s="221" t="s">
        <v>483</v>
      </c>
      <c r="F185" s="216">
        <v>1646.63</v>
      </c>
      <c r="G185" s="218">
        <v>296.4</v>
      </c>
      <c r="H185" s="217">
        <v>1943.0</v>
      </c>
      <c r="I185" s="216" t="s">
        <v>104</v>
      </c>
    </row>
    <row r="186">
      <c r="B186" s="4"/>
      <c r="C186" s="215">
        <v>46111.0</v>
      </c>
      <c r="D186" s="216" t="s">
        <v>273</v>
      </c>
      <c r="E186" s="217" t="s">
        <v>484</v>
      </c>
      <c r="F186" s="216">
        <v>694.91</v>
      </c>
      <c r="G186" s="218">
        <v>125.08</v>
      </c>
      <c r="H186" s="217">
        <v>820.0</v>
      </c>
      <c r="I186" s="216" t="s">
        <v>160</v>
      </c>
    </row>
    <row r="187">
      <c r="B187" s="4"/>
      <c r="C187" s="220">
        <v>46111.0</v>
      </c>
      <c r="D187" s="216" t="s">
        <v>273</v>
      </c>
      <c r="E187" s="221" t="s">
        <v>485</v>
      </c>
      <c r="F187" s="216">
        <v>3523.72</v>
      </c>
      <c r="G187" s="218">
        <v>634.28</v>
      </c>
      <c r="H187" s="217">
        <v>4158.0</v>
      </c>
      <c r="I187" s="216" t="s">
        <v>93</v>
      </c>
    </row>
    <row r="188">
      <c r="B188" s="4"/>
      <c r="C188" s="215">
        <v>46111.0</v>
      </c>
      <c r="D188" s="216" t="s">
        <v>273</v>
      </c>
      <c r="E188" s="217" t="s">
        <v>486</v>
      </c>
      <c r="F188" s="216">
        <v>338.98</v>
      </c>
      <c r="G188" s="218">
        <v>61.02</v>
      </c>
      <c r="H188" s="217">
        <v>400.0</v>
      </c>
      <c r="I188" s="216" t="s">
        <v>121</v>
      </c>
    </row>
    <row r="189">
      <c r="B189" s="4"/>
      <c r="C189" s="220">
        <v>46111.0</v>
      </c>
      <c r="D189" s="216" t="s">
        <v>273</v>
      </c>
      <c r="E189" s="221" t="s">
        <v>487</v>
      </c>
      <c r="F189" s="216">
        <v>1186.44</v>
      </c>
      <c r="G189" s="218">
        <v>213.56</v>
      </c>
      <c r="H189" s="217">
        <v>1400.0</v>
      </c>
      <c r="I189" s="216" t="s">
        <v>159</v>
      </c>
    </row>
    <row r="190">
      <c r="B190" s="4"/>
      <c r="C190" s="215">
        <v>46111.0</v>
      </c>
      <c r="D190" s="216" t="s">
        <v>273</v>
      </c>
      <c r="E190" s="217" t="s">
        <v>488</v>
      </c>
      <c r="F190" s="216">
        <v>10413.56</v>
      </c>
      <c r="G190" s="218">
        <v>1874.44</v>
      </c>
      <c r="H190" s="217">
        <v>12288.0</v>
      </c>
      <c r="I190" s="216" t="s">
        <v>155</v>
      </c>
    </row>
    <row r="191">
      <c r="B191" s="4"/>
      <c r="C191" s="220">
        <v>46111.0</v>
      </c>
      <c r="D191" s="216" t="s">
        <v>273</v>
      </c>
      <c r="E191" s="221" t="s">
        <v>489</v>
      </c>
      <c r="F191" s="216">
        <v>19847.48</v>
      </c>
      <c r="G191" s="218">
        <v>3572.54</v>
      </c>
      <c r="H191" s="217">
        <v>23420.0</v>
      </c>
      <c r="I191" s="216" t="s">
        <v>297</v>
      </c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</sheetData>
  <mergeCells count="24">
    <mergeCell ref="A3:A4"/>
    <mergeCell ref="B3:B4"/>
    <mergeCell ref="C3:G3"/>
    <mergeCell ref="H3:J3"/>
    <mergeCell ref="K3:M3"/>
    <mergeCell ref="N3:P3"/>
    <mergeCell ref="AG1:AS1"/>
    <mergeCell ref="A2:S2"/>
    <mergeCell ref="AG2:AG3"/>
    <mergeCell ref="AH2:AH3"/>
    <mergeCell ref="AI2:AL2"/>
    <mergeCell ref="AM2:AP2"/>
    <mergeCell ref="AQ2:AS2"/>
    <mergeCell ref="AQ49:AS49"/>
    <mergeCell ref="AT49:AT50"/>
    <mergeCell ref="AU49:AU50"/>
    <mergeCell ref="AV49:AV50"/>
    <mergeCell ref="Q3:S3"/>
    <mergeCell ref="T3:V3"/>
    <mergeCell ref="AG48:AS48"/>
    <mergeCell ref="AG49:AG50"/>
    <mergeCell ref="AH49:AH50"/>
    <mergeCell ref="AI49:AL49"/>
    <mergeCell ref="AM49:AP49"/>
  </mergeCells>
  <hyperlinks>
    <hyperlink r:id="rId1" ref="AG2"/>
    <hyperlink r:id="rId2" ref="A3"/>
    <hyperlink r:id="rId3" ref="AG49"/>
    <hyperlink r:id="rId4" ref="I60"/>
    <hyperlink r:id="rId5" ref="I64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4.75"/>
    <col customWidth="1" min="3" max="3" width="11.88"/>
    <col customWidth="1" min="4" max="4" width="12.25"/>
    <col customWidth="1" min="5" max="5" width="8.63"/>
    <col customWidth="1" min="6" max="6" width="10.38"/>
    <col customWidth="1" min="7" max="7" width="10.5"/>
    <col customWidth="1" min="8" max="8" width="13.38"/>
    <col customWidth="1" min="9" max="9" width="11.13"/>
    <col customWidth="1" min="10" max="10" width="12.88"/>
    <col customWidth="1" min="11" max="11" width="12.75"/>
    <col customWidth="1" min="12" max="12" width="11.13"/>
    <col customWidth="1" min="13" max="13" width="11.88"/>
    <col customWidth="1" min="14" max="14" width="11.5"/>
    <col customWidth="1" min="15" max="15" width="12.63"/>
    <col customWidth="1" min="18" max="18" width="9.38"/>
    <col customWidth="1" min="19" max="19" width="56.0"/>
    <col customWidth="1" min="20" max="20" width="14.88"/>
  </cols>
  <sheetData>
    <row r="1">
      <c r="A1" s="3" t="s">
        <v>0</v>
      </c>
      <c r="B1" s="3" t="s">
        <v>3</v>
      </c>
      <c r="C1" s="6">
        <v>45383.0</v>
      </c>
      <c r="D1" s="6">
        <v>45413.0</v>
      </c>
      <c r="E1" s="6">
        <v>45444.0</v>
      </c>
      <c r="F1" s="6">
        <v>45474.0</v>
      </c>
      <c r="G1" s="6">
        <v>45505.0</v>
      </c>
      <c r="H1" s="6">
        <v>45536.0</v>
      </c>
      <c r="I1" s="6">
        <v>45566.0</v>
      </c>
      <c r="J1" s="6">
        <v>45597.0</v>
      </c>
      <c r="K1" s="6">
        <v>45627.0</v>
      </c>
      <c r="L1" s="6">
        <v>45658.0</v>
      </c>
      <c r="M1" s="6">
        <v>45689.0</v>
      </c>
      <c r="N1" s="6">
        <v>45717.0</v>
      </c>
    </row>
    <row r="2">
      <c r="A2" s="11">
        <v>1.0</v>
      </c>
      <c r="B2" s="15" t="s">
        <v>7</v>
      </c>
      <c r="C2" s="17">
        <v>15000.0</v>
      </c>
      <c r="D2" s="17">
        <v>15000.0</v>
      </c>
      <c r="E2" s="17">
        <v>15000.0</v>
      </c>
      <c r="F2" s="19">
        <v>15000.0</v>
      </c>
      <c r="G2" s="17">
        <v>15000.0</v>
      </c>
      <c r="H2" s="17">
        <v>15000.0</v>
      </c>
      <c r="I2" s="20">
        <v>15000.0</v>
      </c>
      <c r="J2" s="17"/>
      <c r="K2" s="20">
        <v>15000.0</v>
      </c>
      <c r="L2" s="20">
        <v>15000.0</v>
      </c>
      <c r="M2" s="20">
        <v>15000.0</v>
      </c>
      <c r="N2" s="20">
        <v>15000.0</v>
      </c>
    </row>
    <row r="3">
      <c r="A3" s="11">
        <v>2.0</v>
      </c>
      <c r="B3" s="15" t="s">
        <v>27</v>
      </c>
      <c r="C3" s="17">
        <v>6000.0</v>
      </c>
      <c r="D3" s="17">
        <v>6000.0</v>
      </c>
      <c r="E3" s="17">
        <v>6000.0</v>
      </c>
      <c r="F3" s="19">
        <v>6000.0</v>
      </c>
      <c r="G3" s="17">
        <v>6000.0</v>
      </c>
      <c r="H3" s="17">
        <v>6000.0</v>
      </c>
      <c r="I3" s="20">
        <v>6000.0</v>
      </c>
      <c r="J3" s="17"/>
      <c r="K3" s="20">
        <v>6000.0</v>
      </c>
      <c r="L3" s="20">
        <v>6000.0</v>
      </c>
      <c r="M3" s="20">
        <v>6000.0</v>
      </c>
      <c r="N3" s="20">
        <v>6000.0</v>
      </c>
    </row>
    <row r="4">
      <c r="A4" s="11">
        <v>3.0</v>
      </c>
      <c r="B4" s="15" t="s">
        <v>31</v>
      </c>
      <c r="C4" s="17">
        <v>3000.0</v>
      </c>
      <c r="D4" s="17">
        <v>3000.0</v>
      </c>
      <c r="E4" s="17">
        <v>3000.0</v>
      </c>
      <c r="F4" s="19">
        <v>3000.0</v>
      </c>
      <c r="G4" s="17">
        <v>3000.0</v>
      </c>
      <c r="H4" s="17">
        <v>3000.0</v>
      </c>
      <c r="I4" s="17"/>
      <c r="J4" s="17"/>
      <c r="K4" s="20">
        <v>3000.0</v>
      </c>
      <c r="L4" s="20">
        <v>3000.0</v>
      </c>
      <c r="M4" s="20">
        <v>3000.0</v>
      </c>
      <c r="N4" s="20">
        <v>3000.0</v>
      </c>
    </row>
    <row r="5">
      <c r="A5" s="11">
        <v>4.0</v>
      </c>
      <c r="B5" s="15" t="s">
        <v>36</v>
      </c>
      <c r="C5" s="17">
        <v>7000.0</v>
      </c>
      <c r="D5" s="17">
        <v>7000.0</v>
      </c>
      <c r="E5" s="17">
        <v>7000.0</v>
      </c>
      <c r="F5" s="19">
        <v>10000.0</v>
      </c>
      <c r="G5" s="17">
        <v>10000.0</v>
      </c>
      <c r="H5" s="17">
        <v>10000.0</v>
      </c>
      <c r="I5" s="20">
        <v>10000.0</v>
      </c>
      <c r="J5" s="17"/>
      <c r="K5" s="20">
        <v>10000.0</v>
      </c>
      <c r="L5" s="20">
        <v>10000.0</v>
      </c>
      <c r="M5" s="20">
        <v>10000.0</v>
      </c>
      <c r="N5" s="20">
        <v>10000.0</v>
      </c>
    </row>
    <row r="6">
      <c r="A6" s="11">
        <v>5.0</v>
      </c>
      <c r="B6" s="15" t="s">
        <v>40</v>
      </c>
      <c r="C6" s="17">
        <v>10000.0</v>
      </c>
      <c r="D6" s="17">
        <v>10000.0</v>
      </c>
      <c r="E6" s="17">
        <v>10000.0</v>
      </c>
      <c r="F6" s="19">
        <v>10000.0</v>
      </c>
      <c r="G6" s="17">
        <v>10000.0</v>
      </c>
      <c r="H6" s="17">
        <v>10000.0</v>
      </c>
      <c r="I6" s="20">
        <v>10000.0</v>
      </c>
      <c r="J6" s="17"/>
      <c r="K6" s="20">
        <v>10000.0</v>
      </c>
      <c r="L6" s="20">
        <v>10000.0</v>
      </c>
      <c r="M6" s="20">
        <v>10000.0</v>
      </c>
      <c r="N6" s="20">
        <v>10000.0</v>
      </c>
    </row>
    <row r="7">
      <c r="A7" s="11">
        <v>6.0</v>
      </c>
      <c r="B7" s="15" t="s">
        <v>45</v>
      </c>
      <c r="C7" s="17">
        <v>10000.0</v>
      </c>
      <c r="D7" s="17">
        <v>10000.0</v>
      </c>
      <c r="E7" s="17">
        <v>10000.0</v>
      </c>
      <c r="F7" s="19">
        <v>10000.0</v>
      </c>
      <c r="G7" s="17">
        <v>10000.0</v>
      </c>
      <c r="H7" s="17">
        <v>10000.0</v>
      </c>
      <c r="I7" s="20">
        <v>10000.0</v>
      </c>
      <c r="J7" s="17"/>
      <c r="K7" s="20">
        <v>10000.0</v>
      </c>
      <c r="L7" s="20">
        <v>10000.0</v>
      </c>
      <c r="M7" s="20">
        <v>10000.0</v>
      </c>
      <c r="N7" s="20">
        <v>10000.0</v>
      </c>
      <c r="O7" s="2" t="s">
        <v>47</v>
      </c>
    </row>
    <row r="8">
      <c r="A8" s="11">
        <v>7.0</v>
      </c>
      <c r="B8" s="15" t="s">
        <v>48</v>
      </c>
      <c r="C8" s="17">
        <v>3000.0</v>
      </c>
      <c r="D8" s="17">
        <v>3000.0</v>
      </c>
      <c r="E8" s="17">
        <v>3000.0</v>
      </c>
      <c r="F8" s="17">
        <v>3000.0</v>
      </c>
      <c r="G8" s="17">
        <v>3000.0</v>
      </c>
      <c r="H8" s="17">
        <v>3000.0</v>
      </c>
      <c r="I8" s="20">
        <v>5000.0</v>
      </c>
      <c r="J8" s="17"/>
      <c r="K8" s="20">
        <v>5000.0</v>
      </c>
      <c r="L8" s="20">
        <v>5000.0</v>
      </c>
      <c r="M8" s="20">
        <v>5000.0</v>
      </c>
      <c r="N8" s="20">
        <v>5000.0</v>
      </c>
      <c r="O8" s="2" t="s">
        <v>52</v>
      </c>
    </row>
    <row r="9">
      <c r="A9" s="11">
        <v>8.0</v>
      </c>
      <c r="B9" s="15" t="s">
        <v>53</v>
      </c>
      <c r="C9" s="17">
        <v>3000.0</v>
      </c>
      <c r="D9" s="17">
        <v>3000.0</v>
      </c>
      <c r="E9" s="17">
        <v>3000.0</v>
      </c>
      <c r="F9" s="17">
        <v>3000.0</v>
      </c>
      <c r="G9" s="17">
        <v>3000.0</v>
      </c>
      <c r="H9" s="17">
        <v>3000.0</v>
      </c>
      <c r="I9" s="17"/>
      <c r="J9" s="17"/>
      <c r="K9" s="17"/>
      <c r="L9" s="17"/>
      <c r="M9" s="17"/>
      <c r="N9" s="17"/>
    </row>
    <row r="10">
      <c r="A10" s="11">
        <v>9.0</v>
      </c>
      <c r="B10" s="15" t="s">
        <v>56</v>
      </c>
      <c r="C10" s="17">
        <v>3000.0</v>
      </c>
      <c r="D10" s="17">
        <v>3000.0</v>
      </c>
      <c r="E10" s="17">
        <v>3000.0</v>
      </c>
      <c r="F10" s="17">
        <v>3000.0</v>
      </c>
      <c r="G10" s="17">
        <v>3000.0</v>
      </c>
      <c r="H10" s="17">
        <v>3000.0</v>
      </c>
      <c r="I10" s="17"/>
      <c r="J10" s="17"/>
      <c r="K10" s="17"/>
      <c r="L10" s="17"/>
      <c r="M10" s="17"/>
      <c r="N10" s="17"/>
    </row>
    <row r="11">
      <c r="A11" s="11">
        <v>10.0</v>
      </c>
      <c r="B11" s="15" t="s">
        <v>63</v>
      </c>
      <c r="C11" s="17">
        <v>10000.0</v>
      </c>
      <c r="D11" s="17">
        <v>10000.0</v>
      </c>
      <c r="E11" s="17">
        <v>10000.0</v>
      </c>
      <c r="F11" s="19">
        <v>10000.0</v>
      </c>
      <c r="G11" s="17">
        <v>10000.0</v>
      </c>
      <c r="H11" s="17">
        <v>10000.0</v>
      </c>
      <c r="I11" s="20">
        <v>10000.0</v>
      </c>
      <c r="J11" s="17"/>
      <c r="K11" s="20">
        <v>10000.0</v>
      </c>
      <c r="L11" s="20">
        <v>10000.0</v>
      </c>
      <c r="M11" s="20">
        <v>10000.0</v>
      </c>
      <c r="N11" s="20">
        <v>10000.0</v>
      </c>
    </row>
    <row r="12">
      <c r="A12" s="11">
        <v>11.0</v>
      </c>
      <c r="B12" s="15" t="s">
        <v>69</v>
      </c>
      <c r="C12" s="17">
        <v>10000.0</v>
      </c>
      <c r="D12" s="17">
        <v>10000.0</v>
      </c>
      <c r="E12" s="17">
        <v>10000.0</v>
      </c>
      <c r="F12" s="19">
        <v>10000.0</v>
      </c>
      <c r="G12" s="17">
        <v>10000.0</v>
      </c>
      <c r="H12" s="17">
        <v>10000.0</v>
      </c>
      <c r="I12" s="20">
        <v>10000.0</v>
      </c>
      <c r="J12" s="17"/>
      <c r="K12" s="20">
        <v>10000.0</v>
      </c>
      <c r="L12" s="20">
        <v>10000.0</v>
      </c>
      <c r="M12" s="20">
        <v>10000.0</v>
      </c>
      <c r="N12" s="20">
        <v>10000.0</v>
      </c>
    </row>
    <row r="13">
      <c r="A13" s="11">
        <v>12.0</v>
      </c>
      <c r="B13" s="15" t="s">
        <v>73</v>
      </c>
      <c r="C13" s="17">
        <v>10000.0</v>
      </c>
      <c r="D13" s="17">
        <v>10000.0</v>
      </c>
      <c r="E13" s="17">
        <v>10000.0</v>
      </c>
      <c r="F13" s="19">
        <v>10000.0</v>
      </c>
      <c r="G13" s="17">
        <v>10000.0</v>
      </c>
      <c r="H13" s="17">
        <v>10000.0</v>
      </c>
      <c r="I13" s="20">
        <v>10000.0</v>
      </c>
      <c r="J13" s="17"/>
      <c r="K13" s="20">
        <v>10000.0</v>
      </c>
      <c r="L13" s="20">
        <v>10000.0</v>
      </c>
      <c r="M13" s="20">
        <v>10000.0</v>
      </c>
      <c r="N13" s="20">
        <v>10000.0</v>
      </c>
    </row>
    <row r="14">
      <c r="A14" s="11">
        <v>13.0</v>
      </c>
      <c r="B14" s="15" t="s">
        <v>76</v>
      </c>
      <c r="C14" s="17">
        <v>10000.0</v>
      </c>
      <c r="D14" s="17">
        <v>10000.0</v>
      </c>
      <c r="E14" s="17">
        <v>10000.0</v>
      </c>
      <c r="F14" s="19">
        <v>10000.0</v>
      </c>
      <c r="G14" s="17">
        <v>10000.0</v>
      </c>
      <c r="H14" s="17">
        <v>10000.0</v>
      </c>
      <c r="I14" s="20">
        <v>10000.0</v>
      </c>
      <c r="J14" s="17"/>
      <c r="K14" s="20">
        <v>10000.0</v>
      </c>
      <c r="L14" s="20">
        <v>10000.0</v>
      </c>
      <c r="M14" s="20">
        <v>10000.0</v>
      </c>
      <c r="N14" s="20">
        <v>10000.0</v>
      </c>
    </row>
    <row r="15">
      <c r="A15" s="11">
        <v>14.0</v>
      </c>
      <c r="B15" s="15" t="s">
        <v>81</v>
      </c>
      <c r="C15" s="17">
        <v>5000.0</v>
      </c>
      <c r="D15" s="17">
        <v>5000.0</v>
      </c>
      <c r="E15" s="17">
        <v>5000.0</v>
      </c>
      <c r="F15" s="19">
        <v>5000.0</v>
      </c>
      <c r="G15" s="17">
        <v>5000.0</v>
      </c>
      <c r="H15" s="17">
        <v>5000.0</v>
      </c>
      <c r="I15" s="20">
        <v>5000.0</v>
      </c>
      <c r="J15" s="17"/>
      <c r="K15" s="20">
        <v>5000.0</v>
      </c>
      <c r="L15" s="20">
        <v>5000.0</v>
      </c>
      <c r="M15" s="20">
        <v>5000.0</v>
      </c>
      <c r="N15" s="20">
        <v>5000.0</v>
      </c>
    </row>
    <row r="16">
      <c r="A16" s="11">
        <v>15.0</v>
      </c>
      <c r="B16" s="15" t="s">
        <v>85</v>
      </c>
      <c r="C16" s="17">
        <v>10000.0</v>
      </c>
      <c r="D16" s="17">
        <v>10000.0</v>
      </c>
      <c r="E16" s="56">
        <v>10000.0</v>
      </c>
      <c r="F16" s="19">
        <v>10000.0</v>
      </c>
      <c r="G16" s="17">
        <v>10000.0</v>
      </c>
      <c r="H16" s="17">
        <v>10000.0</v>
      </c>
      <c r="I16" s="20">
        <v>10000.0</v>
      </c>
      <c r="J16" s="17"/>
      <c r="K16" s="20">
        <v>10000.0</v>
      </c>
      <c r="L16" s="20">
        <v>10000.0</v>
      </c>
      <c r="M16" s="20">
        <v>10000.0</v>
      </c>
      <c r="N16" s="20">
        <v>10000.0</v>
      </c>
      <c r="O16" s="2" t="s">
        <v>88</v>
      </c>
    </row>
    <row r="17">
      <c r="A17" s="11">
        <v>16.0</v>
      </c>
      <c r="B17" s="15" t="s">
        <v>91</v>
      </c>
      <c r="C17" s="17"/>
      <c r="D17" s="17"/>
      <c r="E17" s="56">
        <v>5000.0</v>
      </c>
      <c r="F17" s="17">
        <v>5000.0</v>
      </c>
      <c r="G17" s="17">
        <v>5000.0</v>
      </c>
      <c r="H17" s="17">
        <v>5000.0</v>
      </c>
      <c r="I17" s="17"/>
      <c r="J17" s="17"/>
      <c r="K17" s="17"/>
      <c r="L17" s="17"/>
      <c r="M17" s="17"/>
      <c r="N17" s="17"/>
    </row>
    <row r="18">
      <c r="A18" s="11">
        <v>17.0</v>
      </c>
      <c r="B18" s="15" t="s">
        <v>94</v>
      </c>
      <c r="C18" s="17">
        <v>10000.0</v>
      </c>
      <c r="D18" s="17">
        <v>10000.0</v>
      </c>
      <c r="E18" s="17">
        <v>10000.0</v>
      </c>
      <c r="F18" s="19">
        <v>10000.0</v>
      </c>
      <c r="G18" s="17">
        <v>10000.0</v>
      </c>
      <c r="H18" s="17">
        <v>10000.0</v>
      </c>
      <c r="I18" s="20">
        <v>10000.0</v>
      </c>
      <c r="J18" s="17"/>
      <c r="K18" s="20">
        <v>10000.0</v>
      </c>
      <c r="L18" s="20">
        <v>10000.0</v>
      </c>
      <c r="M18" s="20">
        <v>10000.0</v>
      </c>
      <c r="N18" s="20">
        <v>10000.0</v>
      </c>
    </row>
    <row r="19">
      <c r="A19" s="11">
        <v>18.0</v>
      </c>
      <c r="B19" s="15" t="s">
        <v>97</v>
      </c>
      <c r="C19" s="17">
        <v>10000.0</v>
      </c>
      <c r="D19" s="17">
        <v>10000.0</v>
      </c>
      <c r="E19" s="17">
        <v>10000.0</v>
      </c>
      <c r="F19" s="19">
        <v>10000.0</v>
      </c>
      <c r="G19" s="17">
        <v>10000.0</v>
      </c>
      <c r="H19" s="17">
        <v>10000.0</v>
      </c>
      <c r="I19" s="20">
        <v>10000.0</v>
      </c>
      <c r="J19" s="17"/>
      <c r="K19" s="20">
        <v>10000.0</v>
      </c>
      <c r="L19" s="20">
        <v>10000.0</v>
      </c>
      <c r="M19" s="20">
        <v>10000.0</v>
      </c>
      <c r="N19" s="20">
        <v>10000.0</v>
      </c>
    </row>
    <row r="20">
      <c r="A20" s="11">
        <v>19.0</v>
      </c>
      <c r="B20" s="15" t="s">
        <v>99</v>
      </c>
      <c r="C20" s="17">
        <v>3000.0</v>
      </c>
      <c r="D20" s="17">
        <v>3000.0</v>
      </c>
      <c r="E20" s="17">
        <v>3000.0</v>
      </c>
      <c r="F20" s="17">
        <v>3000.0</v>
      </c>
      <c r="G20" s="17">
        <v>3000.0</v>
      </c>
      <c r="H20" s="17">
        <v>3000.0</v>
      </c>
      <c r="I20" s="17"/>
      <c r="J20" s="17"/>
      <c r="K20" s="17"/>
      <c r="L20" s="17"/>
      <c r="M20" s="17"/>
      <c r="N20" s="17"/>
    </row>
    <row r="21">
      <c r="A21" s="11">
        <v>20.0</v>
      </c>
      <c r="B21" s="15" t="s">
        <v>102</v>
      </c>
      <c r="C21" s="17">
        <v>3000.0</v>
      </c>
      <c r="D21" s="17">
        <v>3000.0</v>
      </c>
      <c r="E21" s="17">
        <v>3000.0</v>
      </c>
      <c r="F21" s="19">
        <v>3000.0</v>
      </c>
      <c r="G21" s="17">
        <v>3000.0</v>
      </c>
      <c r="H21" s="17">
        <v>3000.0</v>
      </c>
      <c r="I21" s="66">
        <v>5000.0</v>
      </c>
      <c r="J21" s="17"/>
      <c r="K21" s="67">
        <v>5000.0</v>
      </c>
      <c r="L21" s="67">
        <v>5000.0</v>
      </c>
      <c r="M21" s="67">
        <v>5000.0</v>
      </c>
      <c r="N21" s="20">
        <v>5000.0</v>
      </c>
    </row>
    <row r="22">
      <c r="A22" s="11">
        <v>21.0</v>
      </c>
      <c r="B22" s="15" t="s">
        <v>108</v>
      </c>
      <c r="C22" s="17">
        <v>3000.0</v>
      </c>
      <c r="D22" s="17">
        <v>3000.0</v>
      </c>
      <c r="E22" s="17">
        <v>3000.0</v>
      </c>
      <c r="F22" s="19">
        <v>3000.0</v>
      </c>
      <c r="G22" s="17">
        <v>3000.0</v>
      </c>
      <c r="H22" s="17">
        <v>3000.0</v>
      </c>
      <c r="I22" s="17"/>
      <c r="J22" s="17"/>
      <c r="K22" s="17"/>
      <c r="L22" s="17"/>
      <c r="M22" s="17"/>
      <c r="N22" s="17"/>
    </row>
    <row r="23">
      <c r="A23" s="11">
        <v>22.0</v>
      </c>
      <c r="B23" s="15" t="s">
        <v>111</v>
      </c>
      <c r="C23" s="17">
        <v>3000.0</v>
      </c>
      <c r="D23" s="17">
        <v>3000.0</v>
      </c>
      <c r="E23" s="17">
        <v>3000.0</v>
      </c>
      <c r="F23" s="19">
        <v>3000.0</v>
      </c>
      <c r="G23" s="17">
        <v>3000.0</v>
      </c>
      <c r="H23" s="17">
        <v>3000.0</v>
      </c>
      <c r="I23" s="17"/>
      <c r="J23" s="17"/>
      <c r="K23" s="17"/>
      <c r="L23" s="17"/>
      <c r="M23" s="17"/>
      <c r="N23" s="17"/>
    </row>
    <row r="24">
      <c r="A24" s="11">
        <v>23.0</v>
      </c>
      <c r="B24" s="15" t="s">
        <v>114</v>
      </c>
      <c r="C24" s="17">
        <v>3000.0</v>
      </c>
      <c r="D24" s="17">
        <v>3000.0</v>
      </c>
      <c r="E24" s="17">
        <v>3000.0</v>
      </c>
      <c r="F24" s="19">
        <v>3000.0</v>
      </c>
      <c r="G24" s="17">
        <v>3000.0</v>
      </c>
      <c r="H24" s="17">
        <v>3000.0</v>
      </c>
      <c r="I24" s="20">
        <v>5000.0</v>
      </c>
      <c r="J24" s="17"/>
      <c r="K24" s="20">
        <v>5000.0</v>
      </c>
      <c r="L24" s="20">
        <v>5000.0</v>
      </c>
      <c r="M24" s="20">
        <v>5000.0</v>
      </c>
      <c r="N24" s="20">
        <v>5000.0</v>
      </c>
    </row>
    <row r="25">
      <c r="A25" s="11">
        <v>24.0</v>
      </c>
      <c r="B25" s="15" t="s">
        <v>115</v>
      </c>
      <c r="C25" s="17">
        <v>3000.0</v>
      </c>
      <c r="D25" s="17">
        <v>3000.0</v>
      </c>
      <c r="E25" s="17">
        <v>3000.0</v>
      </c>
      <c r="F25" s="19">
        <v>3000.0</v>
      </c>
      <c r="G25" s="17">
        <v>3000.0</v>
      </c>
      <c r="H25" s="17">
        <v>3000.0</v>
      </c>
      <c r="I25" s="17"/>
      <c r="J25" s="17"/>
      <c r="K25" s="17"/>
      <c r="L25" s="17"/>
      <c r="M25" s="17"/>
      <c r="N25" s="17"/>
    </row>
    <row r="26">
      <c r="A26" s="11">
        <v>25.0</v>
      </c>
      <c r="B26" s="15" t="s">
        <v>118</v>
      </c>
      <c r="C26" s="17">
        <v>3000.0</v>
      </c>
      <c r="D26" s="17">
        <v>3000.0</v>
      </c>
      <c r="E26" s="17">
        <v>3000.0</v>
      </c>
      <c r="F26" s="19">
        <v>3000.0</v>
      </c>
      <c r="G26" s="17">
        <v>3000.0</v>
      </c>
      <c r="H26" s="17">
        <v>3000.0</v>
      </c>
      <c r="I26" s="20">
        <v>3000.0</v>
      </c>
      <c r="J26" s="17"/>
      <c r="K26" s="20">
        <v>3000.0</v>
      </c>
      <c r="L26" s="20">
        <v>3000.0</v>
      </c>
      <c r="M26" s="20">
        <v>3000.0</v>
      </c>
      <c r="N26" s="20">
        <v>3000.0</v>
      </c>
    </row>
    <row r="27">
      <c r="A27" s="11">
        <v>26.0</v>
      </c>
      <c r="B27" s="15" t="s">
        <v>122</v>
      </c>
      <c r="C27" s="17">
        <v>7000.0</v>
      </c>
      <c r="D27" s="17">
        <v>7000.0</v>
      </c>
      <c r="E27" s="17">
        <v>7000.0</v>
      </c>
      <c r="F27" s="19">
        <v>7000.0</v>
      </c>
      <c r="G27" s="17">
        <v>7000.0</v>
      </c>
      <c r="H27" s="17">
        <v>7000.0</v>
      </c>
      <c r="I27" s="20">
        <v>7000.0</v>
      </c>
      <c r="J27" s="17"/>
      <c r="K27" s="20">
        <v>7000.0</v>
      </c>
      <c r="L27" s="20">
        <v>7000.0</v>
      </c>
      <c r="M27" s="20">
        <v>7000.0</v>
      </c>
      <c r="N27" s="20">
        <v>7000.0</v>
      </c>
    </row>
    <row r="28">
      <c r="A28" s="11">
        <v>27.0</v>
      </c>
      <c r="B28" s="15" t="s">
        <v>123</v>
      </c>
      <c r="C28" s="17">
        <v>3000.0</v>
      </c>
      <c r="D28" s="17">
        <v>3000.0</v>
      </c>
      <c r="E28" s="17">
        <v>3000.0</v>
      </c>
      <c r="F28" s="17">
        <v>3000.0</v>
      </c>
      <c r="G28" s="17">
        <v>3000.0</v>
      </c>
      <c r="H28" s="17">
        <v>3000.0</v>
      </c>
      <c r="I28" s="20">
        <v>3000.0</v>
      </c>
      <c r="J28" s="17"/>
      <c r="K28" s="20">
        <v>3000.0</v>
      </c>
      <c r="L28" s="20">
        <v>3000.0</v>
      </c>
      <c r="M28" s="20">
        <v>3000.0</v>
      </c>
      <c r="N28" s="20">
        <v>3000.0</v>
      </c>
    </row>
    <row r="29">
      <c r="A29" s="11">
        <v>28.0</v>
      </c>
      <c r="B29" s="15" t="s">
        <v>124</v>
      </c>
      <c r="C29" s="17">
        <v>3000.0</v>
      </c>
      <c r="D29" s="17">
        <v>3000.0</v>
      </c>
      <c r="E29" s="17">
        <v>3000.0</v>
      </c>
      <c r="F29" s="17">
        <v>3000.0</v>
      </c>
      <c r="G29" s="17">
        <v>3000.0</v>
      </c>
      <c r="H29" s="17">
        <v>3000.0</v>
      </c>
      <c r="I29" s="20">
        <v>3000.0</v>
      </c>
      <c r="J29" s="17"/>
      <c r="K29" s="17"/>
      <c r="L29" s="20">
        <v>3000.0</v>
      </c>
      <c r="M29" s="20">
        <v>3000.0</v>
      </c>
      <c r="N29" s="20">
        <v>3000.0</v>
      </c>
    </row>
    <row r="30">
      <c r="A30" s="11">
        <v>29.0</v>
      </c>
      <c r="B30" s="15" t="s">
        <v>125</v>
      </c>
      <c r="C30" s="17">
        <v>3000.0</v>
      </c>
      <c r="D30" s="17">
        <v>3000.0</v>
      </c>
      <c r="E30" s="17">
        <v>3000.0</v>
      </c>
      <c r="F30" s="17">
        <v>3000.0</v>
      </c>
      <c r="G30" s="17">
        <v>3000.0</v>
      </c>
      <c r="H30" s="17">
        <v>3000.0</v>
      </c>
      <c r="I30" s="20">
        <v>3000.0</v>
      </c>
      <c r="J30" s="17"/>
      <c r="K30" s="20">
        <v>3000.0</v>
      </c>
      <c r="L30" s="20">
        <v>3000.0</v>
      </c>
      <c r="M30" s="20">
        <v>3000.0</v>
      </c>
      <c r="N30" s="20">
        <v>3000.0</v>
      </c>
    </row>
    <row r="31">
      <c r="A31" s="11">
        <v>30.0</v>
      </c>
      <c r="B31" s="15" t="s">
        <v>126</v>
      </c>
      <c r="C31" s="17">
        <v>3000.0</v>
      </c>
      <c r="D31" s="17">
        <v>3000.0</v>
      </c>
      <c r="E31" s="17">
        <v>3000.0</v>
      </c>
      <c r="F31" s="17">
        <v>5000.0</v>
      </c>
      <c r="G31" s="17">
        <v>5000.0</v>
      </c>
      <c r="H31" s="17">
        <v>5000.0</v>
      </c>
      <c r="I31" s="20">
        <v>5000.0</v>
      </c>
      <c r="J31" s="17"/>
      <c r="K31" s="20">
        <v>5000.0</v>
      </c>
      <c r="L31" s="20">
        <v>5000.0</v>
      </c>
      <c r="M31" s="20">
        <v>5000.0</v>
      </c>
      <c r="N31" s="20">
        <v>5000.0</v>
      </c>
    </row>
    <row r="32">
      <c r="A32" s="11">
        <v>31.0</v>
      </c>
      <c r="B32" s="15" t="s">
        <v>128</v>
      </c>
      <c r="C32" s="17">
        <v>3000.0</v>
      </c>
      <c r="D32" s="17">
        <v>3000.0</v>
      </c>
      <c r="E32" s="17">
        <v>3000.0</v>
      </c>
      <c r="F32" s="17">
        <v>3000.0</v>
      </c>
      <c r="G32" s="17">
        <v>3000.0</v>
      </c>
      <c r="H32" s="17">
        <v>3000.0</v>
      </c>
      <c r="I32" s="20">
        <v>3000.0</v>
      </c>
      <c r="J32" s="17"/>
      <c r="K32" s="20">
        <v>3000.0</v>
      </c>
      <c r="L32" s="20">
        <v>3000.0</v>
      </c>
      <c r="M32" s="20">
        <v>3000.0</v>
      </c>
      <c r="N32" s="20">
        <v>3000.0</v>
      </c>
    </row>
    <row r="33">
      <c r="A33" s="11">
        <v>32.0</v>
      </c>
      <c r="B33" s="15" t="s">
        <v>129</v>
      </c>
      <c r="C33" s="17">
        <v>3000.0</v>
      </c>
      <c r="D33" s="17">
        <v>3000.0</v>
      </c>
      <c r="E33" s="17">
        <v>3000.0</v>
      </c>
      <c r="F33" s="17">
        <v>3000.0</v>
      </c>
      <c r="G33" s="17">
        <v>3000.0</v>
      </c>
      <c r="H33" s="17">
        <v>3000.0</v>
      </c>
      <c r="I33" s="20">
        <v>3000.0</v>
      </c>
      <c r="J33" s="17"/>
      <c r="K33" s="20">
        <v>3000.0</v>
      </c>
      <c r="L33" s="20">
        <v>3000.0</v>
      </c>
      <c r="M33" s="20">
        <v>3000.0</v>
      </c>
      <c r="N33" s="20">
        <v>3000.0</v>
      </c>
      <c r="P33" s="2" t="s">
        <v>24</v>
      </c>
    </row>
    <row r="34">
      <c r="A34" s="11">
        <v>33.0</v>
      </c>
      <c r="B34" s="15" t="s">
        <v>130</v>
      </c>
      <c r="C34" s="17">
        <v>3000.0</v>
      </c>
      <c r="D34" s="17">
        <v>3000.0</v>
      </c>
      <c r="E34" s="17">
        <v>3000.0</v>
      </c>
      <c r="F34" s="17">
        <v>3000.0</v>
      </c>
      <c r="G34" s="17">
        <v>3000.0</v>
      </c>
      <c r="H34" s="17">
        <v>3000.0</v>
      </c>
      <c r="I34" s="20">
        <v>3000.0</v>
      </c>
      <c r="J34" s="17"/>
      <c r="K34" s="20">
        <v>3000.0</v>
      </c>
      <c r="L34" s="20">
        <v>3000.0</v>
      </c>
      <c r="M34" s="20">
        <v>3000.0</v>
      </c>
      <c r="N34" s="20">
        <v>3000.0</v>
      </c>
    </row>
    <row r="35">
      <c r="A35" s="11">
        <v>34.0</v>
      </c>
      <c r="B35" s="15" t="s">
        <v>131</v>
      </c>
      <c r="C35" s="17">
        <v>3000.0</v>
      </c>
      <c r="D35" s="17">
        <v>3000.0</v>
      </c>
      <c r="E35" s="17">
        <v>3000.0</v>
      </c>
      <c r="F35" s="17">
        <v>3000.0</v>
      </c>
      <c r="G35" s="17">
        <v>3000.0</v>
      </c>
      <c r="H35" s="17">
        <v>3000.0</v>
      </c>
      <c r="I35" s="20">
        <v>3000.0</v>
      </c>
      <c r="J35" s="17"/>
      <c r="K35" s="20">
        <v>3000.0</v>
      </c>
      <c r="L35" s="20">
        <v>3000.0</v>
      </c>
      <c r="M35" s="20">
        <v>3000.0</v>
      </c>
      <c r="N35" s="17"/>
    </row>
    <row r="36">
      <c r="A36" s="11">
        <v>35.0</v>
      </c>
      <c r="B36" s="15" t="s">
        <v>133</v>
      </c>
      <c r="C36" s="17">
        <v>3000.0</v>
      </c>
      <c r="D36" s="17">
        <v>3000.0</v>
      </c>
      <c r="E36" s="17">
        <v>3000.0</v>
      </c>
      <c r="F36" s="17">
        <v>3000.0</v>
      </c>
      <c r="G36" s="17">
        <v>3000.0</v>
      </c>
      <c r="H36" s="17">
        <v>3000.0</v>
      </c>
      <c r="I36" s="20">
        <v>3000.0</v>
      </c>
      <c r="J36" s="17"/>
      <c r="K36" s="20">
        <v>3000.0</v>
      </c>
      <c r="L36" s="20">
        <v>3000.0</v>
      </c>
      <c r="M36" s="20">
        <v>3000.0</v>
      </c>
      <c r="N36" s="20">
        <v>3000.0</v>
      </c>
    </row>
    <row r="37">
      <c r="A37" s="11">
        <v>36.0</v>
      </c>
      <c r="B37" s="15" t="s">
        <v>134</v>
      </c>
      <c r="C37" s="17">
        <v>3000.0</v>
      </c>
      <c r="D37" s="17">
        <v>3000.0</v>
      </c>
      <c r="E37" s="17">
        <v>3000.0</v>
      </c>
      <c r="F37" s="17">
        <v>3000.0</v>
      </c>
      <c r="G37" s="17">
        <v>3000.0</v>
      </c>
      <c r="H37" s="17">
        <v>3000.0</v>
      </c>
      <c r="I37" s="20">
        <v>3000.0</v>
      </c>
      <c r="J37" s="17"/>
      <c r="K37" s="20">
        <v>3000.0</v>
      </c>
      <c r="L37" s="20">
        <v>3000.0</v>
      </c>
      <c r="M37" s="20">
        <v>3000.0</v>
      </c>
      <c r="N37" s="20">
        <v>3000.0</v>
      </c>
    </row>
    <row r="38">
      <c r="A38" s="11">
        <v>37.0</v>
      </c>
      <c r="B38" s="15" t="s">
        <v>135</v>
      </c>
      <c r="C38" s="17">
        <v>3000.0</v>
      </c>
      <c r="D38" s="17">
        <v>3000.0</v>
      </c>
      <c r="E38" s="17">
        <v>3000.0</v>
      </c>
      <c r="F38" s="17">
        <v>3000.0</v>
      </c>
      <c r="G38" s="17">
        <v>3000.0</v>
      </c>
      <c r="H38" s="17">
        <v>3000.0</v>
      </c>
      <c r="I38" s="20">
        <v>3000.0</v>
      </c>
      <c r="J38" s="17"/>
      <c r="K38" s="20">
        <v>3000.0</v>
      </c>
      <c r="L38" s="20">
        <v>3000.0</v>
      </c>
      <c r="M38" s="20">
        <v>3000.0</v>
      </c>
      <c r="N38" s="20">
        <v>3000.0</v>
      </c>
    </row>
    <row r="39">
      <c r="A39" s="11">
        <v>38.0</v>
      </c>
      <c r="B39" s="15" t="s">
        <v>137</v>
      </c>
      <c r="C39" s="17">
        <v>6000.0</v>
      </c>
      <c r="D39" s="17">
        <v>6000.0</v>
      </c>
      <c r="E39" s="17">
        <v>6000.0</v>
      </c>
      <c r="F39" s="17">
        <v>6000.0</v>
      </c>
      <c r="G39" s="17">
        <v>6000.0</v>
      </c>
      <c r="H39" s="17">
        <v>6000.0</v>
      </c>
      <c r="I39" s="20">
        <v>6000.0</v>
      </c>
      <c r="J39" s="17"/>
      <c r="K39" s="20">
        <v>6000.0</v>
      </c>
      <c r="L39" s="20">
        <v>6000.0</v>
      </c>
      <c r="M39" s="20">
        <v>6000.0</v>
      </c>
      <c r="N39" s="20">
        <v>6000.0</v>
      </c>
    </row>
    <row r="40">
      <c r="A40" s="11">
        <v>39.0</v>
      </c>
      <c r="B40" s="15" t="s">
        <v>138</v>
      </c>
      <c r="C40" s="17">
        <v>1000.0</v>
      </c>
      <c r="D40" s="17">
        <v>1000.0</v>
      </c>
      <c r="E40" s="17">
        <v>1000.0</v>
      </c>
      <c r="F40" s="17">
        <v>1000.0</v>
      </c>
      <c r="G40" s="17">
        <v>1000.0</v>
      </c>
      <c r="H40" s="17">
        <v>1000.0</v>
      </c>
      <c r="I40" s="20">
        <v>1000.0</v>
      </c>
      <c r="J40" s="17"/>
      <c r="K40" s="20">
        <v>1000.0</v>
      </c>
      <c r="L40" s="20">
        <v>1000.0</v>
      </c>
      <c r="M40" s="20">
        <v>1000.0</v>
      </c>
      <c r="N40" s="20">
        <v>1000.0</v>
      </c>
    </row>
    <row r="41">
      <c r="A41" s="11">
        <v>40.0</v>
      </c>
      <c r="B41" s="15" t="s">
        <v>139</v>
      </c>
      <c r="C41" s="17">
        <v>3000.0</v>
      </c>
      <c r="D41" s="17">
        <v>3000.0</v>
      </c>
      <c r="E41" s="17">
        <v>3000.0</v>
      </c>
      <c r="F41" s="17">
        <v>3000.0</v>
      </c>
      <c r="G41" s="17">
        <v>3000.0</v>
      </c>
      <c r="H41" s="17">
        <v>3000.0</v>
      </c>
      <c r="I41" s="20">
        <v>3000.0</v>
      </c>
      <c r="J41" s="17"/>
      <c r="K41" s="20">
        <v>3000.0</v>
      </c>
      <c r="L41" s="20">
        <v>3000.0</v>
      </c>
      <c r="M41" s="20">
        <v>3000.0</v>
      </c>
      <c r="N41" s="20">
        <v>3000.0</v>
      </c>
    </row>
    <row r="42">
      <c r="A42" s="11">
        <v>41.0</v>
      </c>
      <c r="B42" s="15" t="s">
        <v>140</v>
      </c>
      <c r="C42" s="17">
        <v>3000.0</v>
      </c>
      <c r="D42" s="17">
        <v>3000.0</v>
      </c>
      <c r="E42" s="17">
        <v>3000.0</v>
      </c>
      <c r="F42" s="17">
        <v>3000.0</v>
      </c>
      <c r="G42" s="17">
        <v>3000.0</v>
      </c>
      <c r="H42" s="17">
        <v>3000.0</v>
      </c>
      <c r="I42" s="20">
        <v>3000.0</v>
      </c>
      <c r="J42" s="17"/>
      <c r="K42" s="20">
        <v>3000.0</v>
      </c>
      <c r="L42" s="20">
        <v>3000.0</v>
      </c>
      <c r="M42" s="20">
        <v>3000.0</v>
      </c>
      <c r="N42" s="20">
        <v>3000.0</v>
      </c>
    </row>
    <row r="43">
      <c r="A43" s="11">
        <v>42.0</v>
      </c>
      <c r="B43" s="15" t="s">
        <v>141</v>
      </c>
      <c r="C43" s="17">
        <v>5000.0</v>
      </c>
      <c r="D43" s="17">
        <v>5000.0</v>
      </c>
      <c r="E43" s="17">
        <v>5000.0</v>
      </c>
      <c r="F43" s="17">
        <v>5000.0</v>
      </c>
      <c r="G43" s="17">
        <v>5000.0</v>
      </c>
      <c r="H43" s="17">
        <v>5000.0</v>
      </c>
      <c r="I43" s="20">
        <v>5000.0</v>
      </c>
      <c r="J43" s="17"/>
      <c r="K43" s="20">
        <v>5000.0</v>
      </c>
      <c r="L43" s="20">
        <v>5000.0</v>
      </c>
      <c r="M43" s="20">
        <v>5000.0</v>
      </c>
      <c r="N43" s="20">
        <v>3000.0</v>
      </c>
    </row>
    <row r="44">
      <c r="A44" s="11">
        <v>43.0</v>
      </c>
      <c r="B44" s="15" t="s">
        <v>142</v>
      </c>
      <c r="C44" s="17">
        <v>2000.0</v>
      </c>
      <c r="D44" s="17">
        <v>2000.0</v>
      </c>
      <c r="E44" s="17">
        <v>2000.0</v>
      </c>
      <c r="F44" s="17">
        <v>2000.0</v>
      </c>
      <c r="G44" s="17">
        <v>2000.0</v>
      </c>
      <c r="H44" s="17">
        <v>2000.0</v>
      </c>
      <c r="I44" s="20">
        <v>2000.0</v>
      </c>
      <c r="J44" s="17"/>
      <c r="K44" s="17"/>
      <c r="L44" s="17"/>
      <c r="M44" s="20">
        <v>2000.0</v>
      </c>
      <c r="N44" s="17"/>
    </row>
    <row r="45">
      <c r="A45" s="11">
        <v>44.0</v>
      </c>
      <c r="B45" s="15" t="s">
        <v>144</v>
      </c>
      <c r="C45" s="17">
        <v>2000.0</v>
      </c>
      <c r="D45" s="17">
        <v>2000.0</v>
      </c>
      <c r="E45" s="17">
        <v>2000.0</v>
      </c>
      <c r="F45" s="17">
        <v>2000.0</v>
      </c>
      <c r="G45" s="17">
        <v>2000.0</v>
      </c>
      <c r="H45" s="17">
        <v>2000.0</v>
      </c>
      <c r="I45" s="20">
        <v>2000.0</v>
      </c>
      <c r="J45" s="17"/>
      <c r="K45" s="17"/>
      <c r="L45" s="17"/>
      <c r="M45" s="17"/>
      <c r="N45" s="17"/>
    </row>
    <row r="46">
      <c r="A46" s="11">
        <v>45.0</v>
      </c>
      <c r="B46" s="15" t="s">
        <v>146</v>
      </c>
      <c r="C46" s="17">
        <v>2000.0</v>
      </c>
      <c r="D46" s="17">
        <v>2000.0</v>
      </c>
      <c r="E46" s="17">
        <v>2000.0</v>
      </c>
      <c r="F46" s="17">
        <v>2000.0</v>
      </c>
      <c r="G46" s="17">
        <v>2000.0</v>
      </c>
      <c r="H46" s="17">
        <v>2000.0</v>
      </c>
      <c r="I46" s="20">
        <v>2000.0</v>
      </c>
      <c r="J46" s="17"/>
      <c r="K46" s="17"/>
      <c r="L46" s="17"/>
      <c r="M46" s="17"/>
      <c r="N46" s="17"/>
    </row>
    <row r="47">
      <c r="A47" s="11">
        <v>46.0</v>
      </c>
      <c r="B47" s="15" t="s">
        <v>149</v>
      </c>
      <c r="C47" s="17">
        <v>2000.0</v>
      </c>
      <c r="D47" s="17"/>
      <c r="E47" s="17"/>
      <c r="F47" s="17">
        <v>4000.0</v>
      </c>
      <c r="G47" s="17">
        <v>2000.0</v>
      </c>
      <c r="H47" s="17">
        <v>2000.0</v>
      </c>
      <c r="I47" s="20">
        <v>2000.0</v>
      </c>
      <c r="J47" s="17"/>
      <c r="K47" s="17"/>
      <c r="L47" s="20">
        <v>4000.0</v>
      </c>
      <c r="M47" s="20">
        <v>2000.0</v>
      </c>
      <c r="N47" s="20">
        <v>2000.0</v>
      </c>
    </row>
    <row r="48">
      <c r="A48" s="11">
        <v>47.0</v>
      </c>
      <c r="B48" s="15" t="s">
        <v>153</v>
      </c>
      <c r="C48" s="17">
        <v>2000.0</v>
      </c>
      <c r="D48" s="17"/>
      <c r="E48" s="17"/>
      <c r="F48" s="17">
        <v>2000.0</v>
      </c>
      <c r="G48" s="17">
        <v>2000.0</v>
      </c>
      <c r="H48" s="17">
        <v>2000.0</v>
      </c>
      <c r="I48" s="20">
        <v>2000.0</v>
      </c>
      <c r="J48" s="17"/>
      <c r="K48" s="17"/>
      <c r="L48" s="20">
        <v>4000.0</v>
      </c>
      <c r="M48" s="20">
        <v>2000.0</v>
      </c>
      <c r="N48" s="20">
        <v>2000.0</v>
      </c>
    </row>
    <row r="49">
      <c r="A49" s="11">
        <v>48.0</v>
      </c>
      <c r="B49" s="15" t="s">
        <v>154</v>
      </c>
      <c r="C49" s="17">
        <v>2000.0</v>
      </c>
      <c r="D49" s="17"/>
      <c r="E49" s="17"/>
      <c r="F49" s="17">
        <v>2000.0</v>
      </c>
      <c r="G49" s="17">
        <v>2000.0</v>
      </c>
      <c r="H49" s="17">
        <v>2000.0</v>
      </c>
      <c r="I49" s="20">
        <v>2000.0</v>
      </c>
      <c r="J49" s="17"/>
      <c r="K49" s="17"/>
      <c r="L49" s="20">
        <v>2000.0</v>
      </c>
      <c r="M49" s="17"/>
      <c r="N49" s="20">
        <v>2000.0</v>
      </c>
    </row>
    <row r="50">
      <c r="A50" s="11">
        <v>49.0</v>
      </c>
      <c r="B50" s="15" t="s">
        <v>156</v>
      </c>
      <c r="C50" s="17"/>
      <c r="D50" s="17">
        <v>2000.0</v>
      </c>
      <c r="E50" s="17">
        <v>2000.0</v>
      </c>
      <c r="F50" s="17">
        <v>2000.0</v>
      </c>
      <c r="G50" s="17">
        <v>2000.0</v>
      </c>
      <c r="H50" s="17">
        <v>2000.0</v>
      </c>
      <c r="I50" s="20">
        <v>2000.0</v>
      </c>
      <c r="J50" s="17"/>
      <c r="K50" s="17"/>
      <c r="L50" s="17"/>
      <c r="M50" s="17"/>
      <c r="N50" s="17"/>
    </row>
    <row r="51">
      <c r="A51" s="11">
        <v>50.0</v>
      </c>
      <c r="B51" s="15" t="s">
        <v>157</v>
      </c>
      <c r="C51" s="17"/>
      <c r="D51" s="17">
        <v>10000.0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>
      <c r="A52" s="11">
        <v>51.0</v>
      </c>
      <c r="B52" s="15" t="s">
        <v>158</v>
      </c>
      <c r="C52" s="17">
        <v>3000.0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>
      <c r="A53" s="110">
        <v>52.0</v>
      </c>
      <c r="B53" s="111" t="s">
        <v>161</v>
      </c>
      <c r="C53" s="17"/>
      <c r="D53" s="17"/>
      <c r="E53" s="17"/>
      <c r="F53" s="17"/>
      <c r="G53" s="17"/>
      <c r="H53" s="17"/>
      <c r="I53" s="20">
        <v>10000.0</v>
      </c>
      <c r="J53" s="17"/>
      <c r="K53" s="20">
        <v>10000.0</v>
      </c>
      <c r="L53" s="20">
        <v>10000.0</v>
      </c>
      <c r="M53" s="20">
        <v>10000.0</v>
      </c>
      <c r="N53" s="20">
        <v>10000.0</v>
      </c>
    </row>
    <row r="54">
      <c r="A54" s="110">
        <v>53.0</v>
      </c>
      <c r="B54" s="111" t="s">
        <v>162</v>
      </c>
      <c r="C54" s="17"/>
      <c r="D54" s="17"/>
      <c r="E54" s="17"/>
      <c r="F54" s="17"/>
      <c r="G54" s="17"/>
      <c r="H54" s="17"/>
      <c r="I54" s="20">
        <v>10000.0</v>
      </c>
      <c r="J54" s="17"/>
      <c r="K54" s="17"/>
      <c r="L54" s="17"/>
      <c r="M54" s="17"/>
      <c r="N54" s="17"/>
    </row>
    <row r="55">
      <c r="A55" s="110">
        <v>54.0</v>
      </c>
      <c r="B55" s="111" t="s">
        <v>166</v>
      </c>
      <c r="C55" s="17"/>
      <c r="D55" s="17"/>
      <c r="E55" s="17"/>
      <c r="F55" s="17"/>
      <c r="G55" s="17"/>
      <c r="H55" s="20"/>
      <c r="I55" s="20">
        <v>2000.0</v>
      </c>
      <c r="J55" s="17"/>
      <c r="K55" s="17"/>
      <c r="L55" s="20">
        <v>4000.0</v>
      </c>
      <c r="M55" s="20">
        <v>2000.0</v>
      </c>
      <c r="N55" s="20">
        <v>2000.0</v>
      </c>
    </row>
    <row r="56">
      <c r="A56" s="112">
        <v>55.0</v>
      </c>
      <c r="B56" s="111" t="s">
        <v>167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20">
        <v>2000.0</v>
      </c>
      <c r="N56" s="20">
        <v>2000.0</v>
      </c>
    </row>
    <row r="57">
      <c r="A57" s="112">
        <v>56.0</v>
      </c>
      <c r="B57" s="111" t="s">
        <v>170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20">
        <v>10000.0</v>
      </c>
    </row>
    <row r="58">
      <c r="A58" s="15"/>
      <c r="B58" s="1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>
      <c r="A59" s="114"/>
      <c r="B59" s="114"/>
      <c r="C59" s="17">
        <f t="shared" ref="C59:N59" si="1">SUM(C2:C58)</f>
        <v>229000</v>
      </c>
      <c r="D59" s="17">
        <f t="shared" si="1"/>
        <v>232000</v>
      </c>
      <c r="E59" s="17">
        <f t="shared" si="1"/>
        <v>227000</v>
      </c>
      <c r="F59" s="17">
        <f t="shared" si="1"/>
        <v>240000</v>
      </c>
      <c r="G59" s="17">
        <f t="shared" si="1"/>
        <v>238000</v>
      </c>
      <c r="H59" s="17">
        <f t="shared" si="1"/>
        <v>238000</v>
      </c>
      <c r="I59" s="17">
        <f t="shared" si="1"/>
        <v>240000</v>
      </c>
      <c r="J59" s="17">
        <f t="shared" si="1"/>
        <v>0</v>
      </c>
      <c r="K59" s="17">
        <f t="shared" si="1"/>
        <v>214000</v>
      </c>
      <c r="L59" s="17">
        <f t="shared" si="1"/>
        <v>231000</v>
      </c>
      <c r="M59" s="17">
        <f t="shared" si="1"/>
        <v>227000</v>
      </c>
      <c r="N59" s="17">
        <f t="shared" si="1"/>
        <v>232000</v>
      </c>
    </row>
    <row r="62">
      <c r="A62" s="120" t="s">
        <v>175</v>
      </c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4" ht="29.25" customHeight="1"/>
    <row r="65" ht="29.25" customHeight="1">
      <c r="A65" s="123" t="s">
        <v>178</v>
      </c>
    </row>
    <row r="66" ht="29.25" customHeight="1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5"/>
      <c r="S66" s="129" t="s">
        <v>183</v>
      </c>
      <c r="T66" s="126"/>
      <c r="U66" s="126"/>
    </row>
    <row r="67" ht="24.75" customHeight="1">
      <c r="A67" s="131" t="s">
        <v>0</v>
      </c>
      <c r="B67" s="131" t="s">
        <v>3</v>
      </c>
      <c r="C67" s="132" t="s">
        <v>185</v>
      </c>
      <c r="D67" s="132" t="s">
        <v>13</v>
      </c>
      <c r="E67" s="132" t="s">
        <v>15</v>
      </c>
      <c r="F67" s="132" t="s">
        <v>16</v>
      </c>
      <c r="G67" s="132" t="s">
        <v>17</v>
      </c>
      <c r="H67" s="132" t="s">
        <v>18</v>
      </c>
      <c r="I67" s="132" t="s">
        <v>19</v>
      </c>
      <c r="J67" s="132" t="s">
        <v>20</v>
      </c>
      <c r="K67" s="132" t="s">
        <v>22</v>
      </c>
      <c r="L67" s="132" t="s">
        <v>23</v>
      </c>
      <c r="M67" s="132" t="s">
        <v>24</v>
      </c>
      <c r="N67" s="132" t="s">
        <v>25</v>
      </c>
      <c r="O67" s="132" t="s">
        <v>26</v>
      </c>
      <c r="P67" s="126"/>
      <c r="Q67" s="126"/>
      <c r="R67" s="131" t="s">
        <v>0</v>
      </c>
      <c r="S67" s="131" t="s">
        <v>3</v>
      </c>
      <c r="T67" s="132" t="s">
        <v>185</v>
      </c>
      <c r="U67" s="126"/>
    </row>
    <row r="68" ht="24.75" customHeight="1">
      <c r="A68" s="134">
        <v>1.0</v>
      </c>
      <c r="B68" s="134" t="s">
        <v>7</v>
      </c>
      <c r="C68" s="135">
        <v>15000.0</v>
      </c>
      <c r="D68" s="137">
        <v>15000.0</v>
      </c>
      <c r="E68" s="137">
        <v>15000.0</v>
      </c>
      <c r="F68" s="138">
        <v>15000.0</v>
      </c>
      <c r="G68" s="137">
        <v>15000.0</v>
      </c>
      <c r="H68" s="137">
        <v>15000.0</v>
      </c>
      <c r="I68" s="137">
        <v>15000.0</v>
      </c>
      <c r="J68" s="137">
        <v>15000.0</v>
      </c>
      <c r="K68" s="137">
        <v>15000.0</v>
      </c>
      <c r="L68" s="137">
        <v>15000.0</v>
      </c>
      <c r="M68" s="137">
        <v>15000.0</v>
      </c>
      <c r="N68" s="137">
        <v>15000.0</v>
      </c>
      <c r="O68" s="137">
        <v>15000.0</v>
      </c>
      <c r="P68" s="126"/>
      <c r="Q68" s="126"/>
      <c r="R68" s="140">
        <v>1.0</v>
      </c>
      <c r="S68" s="141" t="s">
        <v>177</v>
      </c>
      <c r="T68" s="142">
        <v>11000.0</v>
      </c>
      <c r="U68" s="126"/>
    </row>
    <row r="69" ht="24.75" customHeight="1">
      <c r="A69" s="134">
        <f t="shared" ref="A69:A134" si="2">A68+1</f>
        <v>2</v>
      </c>
      <c r="B69" s="137" t="s">
        <v>201</v>
      </c>
      <c r="C69" s="143">
        <v>10000.0</v>
      </c>
      <c r="D69" s="137" t="s">
        <v>203</v>
      </c>
      <c r="E69" s="137" t="s">
        <v>203</v>
      </c>
      <c r="F69" s="137" t="s">
        <v>203</v>
      </c>
      <c r="G69" s="137">
        <v>10000.0</v>
      </c>
      <c r="H69" s="137">
        <v>10000.0</v>
      </c>
      <c r="I69" s="137">
        <v>10000.0</v>
      </c>
      <c r="J69" s="137">
        <v>10000.0</v>
      </c>
      <c r="K69" s="137">
        <v>10000.0</v>
      </c>
      <c r="L69" s="137">
        <v>10000.0</v>
      </c>
      <c r="M69" s="137">
        <v>10000.0</v>
      </c>
      <c r="N69" s="137">
        <v>10000.0</v>
      </c>
      <c r="O69" s="137">
        <v>10000.0</v>
      </c>
      <c r="P69" s="126"/>
      <c r="Q69" s="126"/>
      <c r="R69" s="145">
        <f t="shared" ref="R69:R152" si="3">R68+1</f>
        <v>2</v>
      </c>
      <c r="S69" s="141" t="s">
        <v>206</v>
      </c>
      <c r="T69" s="142">
        <v>14000.0</v>
      </c>
      <c r="U69" s="126"/>
    </row>
    <row r="70" ht="24.75" customHeight="1">
      <c r="A70" s="134">
        <f t="shared" si="2"/>
        <v>3</v>
      </c>
      <c r="B70" s="134" t="s">
        <v>140</v>
      </c>
      <c r="C70" s="135">
        <v>3000.0</v>
      </c>
      <c r="D70" s="137">
        <v>3000.0</v>
      </c>
      <c r="E70" s="137">
        <v>3000.0</v>
      </c>
      <c r="F70" s="138">
        <v>3000.0</v>
      </c>
      <c r="G70" s="137">
        <v>3000.0</v>
      </c>
      <c r="H70" s="137">
        <v>3000.0</v>
      </c>
      <c r="I70" s="137">
        <v>3000.0</v>
      </c>
      <c r="J70" s="137">
        <v>3000.0</v>
      </c>
      <c r="K70" s="137">
        <v>3000.0</v>
      </c>
      <c r="L70" s="137">
        <v>3000.0</v>
      </c>
      <c r="M70" s="137">
        <v>3000.0</v>
      </c>
      <c r="N70" s="137">
        <v>3000.0</v>
      </c>
      <c r="O70" s="137">
        <v>3000.0</v>
      </c>
      <c r="P70" s="126"/>
      <c r="Q70" s="126"/>
      <c r="R70" s="145">
        <f t="shared" si="3"/>
        <v>3</v>
      </c>
      <c r="S70" s="141" t="s">
        <v>182</v>
      </c>
      <c r="T70" s="148">
        <v>11000.0</v>
      </c>
      <c r="U70" s="126"/>
    </row>
    <row r="71" ht="24.75" customHeight="1">
      <c r="A71" s="134">
        <f t="shared" si="2"/>
        <v>4</v>
      </c>
      <c r="B71" s="134" t="s">
        <v>31</v>
      </c>
      <c r="C71" s="135">
        <v>3000.0</v>
      </c>
      <c r="D71" s="137">
        <v>3000.0</v>
      </c>
      <c r="E71" s="137">
        <v>3000.0</v>
      </c>
      <c r="F71" s="138">
        <v>3000.0</v>
      </c>
      <c r="G71" s="137">
        <v>3000.0</v>
      </c>
      <c r="H71" s="137">
        <v>3000.0</v>
      </c>
      <c r="I71" s="137">
        <v>3000.0</v>
      </c>
      <c r="J71" s="137">
        <v>3000.0</v>
      </c>
      <c r="K71" s="137">
        <v>3000.0</v>
      </c>
      <c r="L71" s="137">
        <v>3000.0</v>
      </c>
      <c r="M71" s="137">
        <v>3000.0</v>
      </c>
      <c r="N71" s="137">
        <v>3000.0</v>
      </c>
      <c r="O71" s="137">
        <v>3000.0</v>
      </c>
      <c r="P71" s="126"/>
      <c r="Q71" s="126"/>
      <c r="R71" s="145">
        <f t="shared" si="3"/>
        <v>4</v>
      </c>
      <c r="S71" s="141" t="s">
        <v>184</v>
      </c>
      <c r="T71" s="142">
        <v>15000.0</v>
      </c>
      <c r="U71" s="126"/>
      <c r="W71" s="123"/>
      <c r="X71" s="149" t="s">
        <v>183</v>
      </c>
    </row>
    <row r="72" ht="24.75" customHeight="1">
      <c r="A72" s="134">
        <f t="shared" si="2"/>
        <v>5</v>
      </c>
      <c r="B72" s="134" t="s">
        <v>27</v>
      </c>
      <c r="C72" s="135">
        <v>6000.0</v>
      </c>
      <c r="D72" s="137">
        <v>6000.0</v>
      </c>
      <c r="E72" s="137">
        <v>6000.0</v>
      </c>
      <c r="F72" s="138">
        <v>6000.0</v>
      </c>
      <c r="G72" s="137">
        <v>6000.0</v>
      </c>
      <c r="H72" s="137">
        <v>6000.0</v>
      </c>
      <c r="I72" s="137">
        <v>6000.0</v>
      </c>
      <c r="J72" s="137">
        <v>6000.0</v>
      </c>
      <c r="K72" s="137">
        <v>6000.0</v>
      </c>
      <c r="L72" s="137">
        <v>6000.0</v>
      </c>
      <c r="M72" s="137">
        <v>6000.0</v>
      </c>
      <c r="N72" s="137">
        <v>6000.0</v>
      </c>
      <c r="O72" s="137">
        <v>6000.0</v>
      </c>
      <c r="P72" s="126"/>
      <c r="Q72" s="126"/>
      <c r="R72" s="145">
        <f t="shared" si="3"/>
        <v>5</v>
      </c>
      <c r="S72" s="141" t="s">
        <v>186</v>
      </c>
      <c r="T72" s="142">
        <v>10000.0</v>
      </c>
      <c r="U72" s="126"/>
      <c r="W72" s="3" t="s">
        <v>0</v>
      </c>
      <c r="X72" s="3" t="s">
        <v>3</v>
      </c>
      <c r="Y72" s="151" t="s">
        <v>185</v>
      </c>
    </row>
    <row r="73" ht="24.75" customHeight="1">
      <c r="A73" s="134">
        <f t="shared" si="2"/>
        <v>6</v>
      </c>
      <c r="B73" s="137" t="s">
        <v>170</v>
      </c>
      <c r="C73" s="143">
        <v>10000.0</v>
      </c>
      <c r="D73" s="137" t="s">
        <v>203</v>
      </c>
      <c r="E73" s="137" t="s">
        <v>203</v>
      </c>
      <c r="F73" s="137" t="s">
        <v>203</v>
      </c>
      <c r="G73" s="137">
        <v>10000.0</v>
      </c>
      <c r="H73" s="137">
        <v>10000.0</v>
      </c>
      <c r="I73" s="137">
        <v>10000.0</v>
      </c>
      <c r="J73" s="137">
        <v>10000.0</v>
      </c>
      <c r="K73" s="137">
        <v>10000.0</v>
      </c>
      <c r="L73" s="137">
        <v>10000.0</v>
      </c>
      <c r="M73" s="137">
        <v>10000.0</v>
      </c>
      <c r="N73" s="137">
        <v>10000.0</v>
      </c>
      <c r="O73" s="137">
        <v>10000.0</v>
      </c>
      <c r="P73" s="126"/>
      <c r="Q73" s="126"/>
      <c r="R73" s="145">
        <f t="shared" si="3"/>
        <v>6</v>
      </c>
      <c r="S73" s="141" t="s">
        <v>188</v>
      </c>
      <c r="T73" s="142">
        <v>2000.0</v>
      </c>
      <c r="U73" s="126"/>
      <c r="W73" s="110">
        <v>1.0</v>
      </c>
      <c r="X73" s="119" t="s">
        <v>174</v>
      </c>
      <c r="Y73" s="154">
        <v>11000.0</v>
      </c>
    </row>
    <row r="74" ht="24.75" customHeight="1">
      <c r="A74" s="134">
        <f t="shared" si="2"/>
        <v>7</v>
      </c>
      <c r="B74" s="134" t="s">
        <v>36</v>
      </c>
      <c r="C74" s="143">
        <v>10000.0</v>
      </c>
      <c r="D74" s="137">
        <v>10000.0</v>
      </c>
      <c r="E74" s="137">
        <v>10000.0</v>
      </c>
      <c r="F74" s="138">
        <v>10000.0</v>
      </c>
      <c r="G74" s="137">
        <v>10000.0</v>
      </c>
      <c r="H74" s="137">
        <v>10000.0</v>
      </c>
      <c r="I74" s="137">
        <v>10000.0</v>
      </c>
      <c r="J74" s="137">
        <v>10000.0</v>
      </c>
      <c r="K74" s="137">
        <v>10000.0</v>
      </c>
      <c r="L74" s="137">
        <v>10000.0</v>
      </c>
      <c r="M74" s="137">
        <v>10000.0</v>
      </c>
      <c r="N74" s="137">
        <v>10000.0</v>
      </c>
      <c r="O74" s="137">
        <v>10000.0</v>
      </c>
      <c r="P74" s="126"/>
      <c r="Q74" s="126"/>
      <c r="R74" s="145">
        <f t="shared" si="3"/>
        <v>7</v>
      </c>
      <c r="S74" s="141" t="s">
        <v>189</v>
      </c>
      <c r="T74" s="142">
        <v>2000.0</v>
      </c>
      <c r="U74" s="126"/>
      <c r="W74" s="11">
        <f t="shared" ref="W74:W92" si="4">W73+1</f>
        <v>2</v>
      </c>
      <c r="X74" s="119" t="s">
        <v>177</v>
      </c>
      <c r="Y74" s="154">
        <v>11000.0</v>
      </c>
    </row>
    <row r="75" ht="24.75" customHeight="1">
      <c r="A75" s="134">
        <f t="shared" si="2"/>
        <v>8</v>
      </c>
      <c r="B75" s="134" t="s">
        <v>40</v>
      </c>
      <c r="C75" s="135">
        <v>10000.0</v>
      </c>
      <c r="D75" s="137">
        <v>10000.0</v>
      </c>
      <c r="E75" s="137">
        <v>10000.0</v>
      </c>
      <c r="F75" s="138">
        <v>10000.0</v>
      </c>
      <c r="G75" s="137">
        <v>10000.0</v>
      </c>
      <c r="H75" s="137">
        <v>10000.0</v>
      </c>
      <c r="I75" s="137">
        <v>10000.0</v>
      </c>
      <c r="J75" s="137">
        <v>10000.0</v>
      </c>
      <c r="K75" s="137">
        <v>10000.0</v>
      </c>
      <c r="L75" s="137">
        <v>10000.0</v>
      </c>
      <c r="M75" s="137">
        <v>10000.0</v>
      </c>
      <c r="N75" s="137">
        <v>10000.0</v>
      </c>
      <c r="O75" s="137">
        <v>10000.0</v>
      </c>
      <c r="P75" s="126"/>
      <c r="Q75" s="126"/>
      <c r="R75" s="145">
        <f t="shared" si="3"/>
        <v>8</v>
      </c>
      <c r="S75" s="141" t="s">
        <v>191</v>
      </c>
      <c r="T75" s="142">
        <v>2000.0</v>
      </c>
      <c r="U75" s="126"/>
      <c r="W75" s="11">
        <f t="shared" si="4"/>
        <v>3</v>
      </c>
      <c r="X75" s="119" t="s">
        <v>206</v>
      </c>
      <c r="Y75" s="154">
        <v>14000.0</v>
      </c>
    </row>
    <row r="76" ht="24.75" customHeight="1">
      <c r="A76" s="134">
        <f t="shared" si="2"/>
        <v>9</v>
      </c>
      <c r="B76" s="134" t="s">
        <v>102</v>
      </c>
      <c r="C76" s="143">
        <v>5000.0</v>
      </c>
      <c r="D76" s="137">
        <v>5000.0</v>
      </c>
      <c r="E76" s="137">
        <v>5000.0</v>
      </c>
      <c r="F76" s="138">
        <v>5000.0</v>
      </c>
      <c r="G76" s="137">
        <v>5000.0</v>
      </c>
      <c r="H76" s="137">
        <v>5000.0</v>
      </c>
      <c r="I76" s="161">
        <v>5000.0</v>
      </c>
      <c r="J76" s="137">
        <v>5000.0</v>
      </c>
      <c r="K76" s="137">
        <v>5000.0</v>
      </c>
      <c r="L76" s="137">
        <v>5000.0</v>
      </c>
      <c r="M76" s="137">
        <v>5000.0</v>
      </c>
      <c r="N76" s="137">
        <v>5000.0</v>
      </c>
      <c r="O76" s="137">
        <v>5000.0</v>
      </c>
      <c r="P76" s="126"/>
      <c r="Q76" s="126"/>
      <c r="R76" s="145">
        <f t="shared" si="3"/>
        <v>9</v>
      </c>
      <c r="S76" s="141" t="s">
        <v>192</v>
      </c>
      <c r="T76" s="142">
        <v>5000.0</v>
      </c>
      <c r="U76" s="126"/>
      <c r="W76" s="11">
        <f t="shared" si="4"/>
        <v>4</v>
      </c>
      <c r="X76" s="119" t="s">
        <v>227</v>
      </c>
      <c r="Y76" s="164">
        <v>11000.0</v>
      </c>
    </row>
    <row r="77" ht="24.75" customHeight="1">
      <c r="A77" s="134">
        <f t="shared" si="2"/>
        <v>10</v>
      </c>
      <c r="B77" s="137" t="s">
        <v>232</v>
      </c>
      <c r="C77" s="135">
        <v>10000.0</v>
      </c>
      <c r="D77" s="137">
        <v>10000.0</v>
      </c>
      <c r="E77" s="137">
        <v>10000.0</v>
      </c>
      <c r="F77" s="138">
        <v>10000.0</v>
      </c>
      <c r="G77" s="137">
        <v>10000.0</v>
      </c>
      <c r="H77" s="137">
        <v>10000.0</v>
      </c>
      <c r="I77" s="137">
        <v>10000.0</v>
      </c>
      <c r="J77" s="137">
        <v>10000.0</v>
      </c>
      <c r="K77" s="137">
        <v>10000.0</v>
      </c>
      <c r="L77" s="137">
        <v>10000.0</v>
      </c>
      <c r="M77" s="137">
        <v>10000.0</v>
      </c>
      <c r="N77" s="137">
        <v>10000.0</v>
      </c>
      <c r="O77" s="137">
        <v>10000.0</v>
      </c>
      <c r="P77" s="126"/>
      <c r="Q77" s="126"/>
      <c r="R77" s="145">
        <f t="shared" si="3"/>
        <v>10</v>
      </c>
      <c r="S77" s="141" t="s">
        <v>193</v>
      </c>
      <c r="T77" s="142">
        <v>5000.0</v>
      </c>
      <c r="U77" s="126"/>
      <c r="W77" s="11">
        <f t="shared" si="4"/>
        <v>5</v>
      </c>
      <c r="X77" s="119" t="s">
        <v>184</v>
      </c>
      <c r="Y77" s="154">
        <v>15000.0</v>
      </c>
    </row>
    <row r="78" ht="24.75" customHeight="1">
      <c r="A78" s="134">
        <f t="shared" si="2"/>
        <v>11</v>
      </c>
      <c r="B78" s="137" t="s">
        <v>237</v>
      </c>
      <c r="C78" s="135">
        <v>3000.0</v>
      </c>
      <c r="D78" s="137">
        <v>5000.0</v>
      </c>
      <c r="E78" s="137">
        <v>5000.0</v>
      </c>
      <c r="F78" s="138">
        <v>5000.0</v>
      </c>
      <c r="G78" s="137">
        <v>5000.0</v>
      </c>
      <c r="H78" s="137">
        <v>5000.0</v>
      </c>
      <c r="I78" s="137">
        <v>5000.0</v>
      </c>
      <c r="J78" s="137">
        <v>5000.0</v>
      </c>
      <c r="K78" s="137">
        <v>5000.0</v>
      </c>
      <c r="L78" s="137">
        <v>5000.0</v>
      </c>
      <c r="M78" s="137">
        <v>5000.0</v>
      </c>
      <c r="N78" s="137">
        <v>5000.0</v>
      </c>
      <c r="O78" s="137">
        <v>5000.0</v>
      </c>
      <c r="P78" s="126"/>
      <c r="Q78" s="126"/>
      <c r="R78" s="145">
        <f t="shared" si="3"/>
        <v>11</v>
      </c>
      <c r="S78" s="141" t="s">
        <v>194</v>
      </c>
      <c r="T78" s="142">
        <v>5000.0</v>
      </c>
      <c r="U78" s="126"/>
      <c r="W78" s="11">
        <f t="shared" si="4"/>
        <v>6</v>
      </c>
      <c r="X78" s="119" t="s">
        <v>186</v>
      </c>
      <c r="Y78" s="154">
        <v>10000.0</v>
      </c>
    </row>
    <row r="79" ht="24.75" customHeight="1">
      <c r="A79" s="134">
        <f t="shared" si="2"/>
        <v>12</v>
      </c>
      <c r="B79" s="134" t="s">
        <v>53</v>
      </c>
      <c r="C79" s="135">
        <v>3000.0</v>
      </c>
      <c r="D79" s="137" t="s">
        <v>203</v>
      </c>
      <c r="E79" s="137" t="s">
        <v>203</v>
      </c>
      <c r="F79" s="137" t="s">
        <v>203</v>
      </c>
      <c r="G79" s="137" t="s">
        <v>203</v>
      </c>
      <c r="H79" s="137" t="s">
        <v>203</v>
      </c>
      <c r="I79" s="137" t="s">
        <v>203</v>
      </c>
      <c r="J79" s="134"/>
      <c r="K79" s="134"/>
      <c r="L79" s="134"/>
      <c r="M79" s="134"/>
      <c r="N79" s="134"/>
      <c r="O79" s="134"/>
      <c r="P79" s="126"/>
      <c r="Q79" s="126"/>
      <c r="R79" s="145">
        <f t="shared" si="3"/>
        <v>12</v>
      </c>
      <c r="S79" s="141" t="s">
        <v>195</v>
      </c>
      <c r="T79" s="142">
        <v>5000.0</v>
      </c>
      <c r="U79" s="126"/>
      <c r="W79" s="11">
        <f t="shared" si="4"/>
        <v>7</v>
      </c>
      <c r="X79" s="119" t="s">
        <v>188</v>
      </c>
      <c r="Y79" s="154">
        <v>2000.0</v>
      </c>
    </row>
    <row r="80" ht="24.75" customHeight="1">
      <c r="A80" s="134">
        <f t="shared" si="2"/>
        <v>13</v>
      </c>
      <c r="B80" s="134" t="s">
        <v>56</v>
      </c>
      <c r="C80" s="135">
        <v>3000.0</v>
      </c>
      <c r="D80" s="137" t="s">
        <v>203</v>
      </c>
      <c r="E80" s="137" t="s">
        <v>203</v>
      </c>
      <c r="F80" s="137" t="s">
        <v>203</v>
      </c>
      <c r="G80" s="137" t="s">
        <v>203</v>
      </c>
      <c r="H80" s="137" t="s">
        <v>203</v>
      </c>
      <c r="I80" s="137" t="s">
        <v>203</v>
      </c>
      <c r="J80" s="134"/>
      <c r="K80" s="134"/>
      <c r="L80" s="134"/>
      <c r="M80" s="134"/>
      <c r="N80" s="134"/>
      <c r="O80" s="134"/>
      <c r="P80" s="126"/>
      <c r="Q80" s="126"/>
      <c r="R80" s="145">
        <f t="shared" si="3"/>
        <v>13</v>
      </c>
      <c r="S80" s="141" t="s">
        <v>196</v>
      </c>
      <c r="T80" s="142">
        <v>5000.0</v>
      </c>
      <c r="U80" s="126"/>
      <c r="W80" s="11">
        <f t="shared" si="4"/>
        <v>8</v>
      </c>
      <c r="X80" s="119" t="s">
        <v>189</v>
      </c>
      <c r="Y80" s="154">
        <v>2000.0</v>
      </c>
    </row>
    <row r="81" ht="24.75" customHeight="1">
      <c r="A81" s="134">
        <f t="shared" si="2"/>
        <v>14</v>
      </c>
      <c r="B81" s="134" t="s">
        <v>63</v>
      </c>
      <c r="C81" s="135">
        <v>10000.0</v>
      </c>
      <c r="D81" s="137">
        <v>10000.0</v>
      </c>
      <c r="E81" s="137">
        <v>10000.0</v>
      </c>
      <c r="F81" s="138">
        <v>10000.0</v>
      </c>
      <c r="G81" s="137">
        <v>10000.0</v>
      </c>
      <c r="H81" s="137">
        <v>10000.0</v>
      </c>
      <c r="I81" s="137">
        <v>10000.0</v>
      </c>
      <c r="J81" s="137">
        <v>10000.0</v>
      </c>
      <c r="K81" s="137">
        <v>10000.0</v>
      </c>
      <c r="L81" s="137">
        <v>10000.0</v>
      </c>
      <c r="M81" s="137">
        <v>10000.0</v>
      </c>
      <c r="N81" s="137">
        <v>10000.0</v>
      </c>
      <c r="O81" s="137">
        <v>10000.0</v>
      </c>
      <c r="P81" s="126"/>
      <c r="Q81" s="126"/>
      <c r="R81" s="145">
        <f t="shared" si="3"/>
        <v>14</v>
      </c>
      <c r="S81" s="141" t="s">
        <v>197</v>
      </c>
      <c r="T81" s="142">
        <v>5000.0</v>
      </c>
      <c r="U81" s="126"/>
      <c r="W81" s="11">
        <f t="shared" si="4"/>
        <v>9</v>
      </c>
      <c r="X81" s="119" t="s">
        <v>191</v>
      </c>
      <c r="Y81" s="154">
        <v>2000.0</v>
      </c>
    </row>
    <row r="82" ht="24.75" customHeight="1">
      <c r="A82" s="134">
        <f t="shared" si="2"/>
        <v>15</v>
      </c>
      <c r="B82" s="137" t="s">
        <v>246</v>
      </c>
      <c r="C82" s="135">
        <v>10000.0</v>
      </c>
      <c r="D82" s="137">
        <v>10000.0</v>
      </c>
      <c r="E82" s="161">
        <v>10000.0</v>
      </c>
      <c r="F82" s="138">
        <v>10000.0</v>
      </c>
      <c r="G82" s="137">
        <v>10000.0</v>
      </c>
      <c r="H82" s="137">
        <v>10000.0</v>
      </c>
      <c r="I82" s="137">
        <v>10000.0</v>
      </c>
      <c r="J82" s="137">
        <v>10000.0</v>
      </c>
      <c r="K82" s="137">
        <v>10000.0</v>
      </c>
      <c r="L82" s="137">
        <v>10000.0</v>
      </c>
      <c r="M82" s="137">
        <v>10000.0</v>
      </c>
      <c r="N82" s="137">
        <v>10000.0</v>
      </c>
      <c r="O82" s="137">
        <v>10000.0</v>
      </c>
      <c r="P82" s="126"/>
      <c r="Q82" s="126"/>
      <c r="R82" s="145">
        <f t="shared" si="3"/>
        <v>15</v>
      </c>
      <c r="S82" s="141" t="s">
        <v>198</v>
      </c>
      <c r="T82" s="142">
        <v>3000.0</v>
      </c>
      <c r="U82" s="126"/>
      <c r="W82" s="11">
        <f t="shared" si="4"/>
        <v>10</v>
      </c>
      <c r="X82" s="119" t="s">
        <v>192</v>
      </c>
      <c r="Y82" s="154">
        <v>5000.0</v>
      </c>
    </row>
    <row r="83" ht="24.75" customHeight="1">
      <c r="A83" s="134">
        <f t="shared" si="2"/>
        <v>16</v>
      </c>
      <c r="B83" s="137" t="s">
        <v>161</v>
      </c>
      <c r="C83" s="143">
        <v>10000.0</v>
      </c>
      <c r="D83" s="137">
        <v>10000.0</v>
      </c>
      <c r="E83" s="137">
        <v>10000.0</v>
      </c>
      <c r="F83" s="138">
        <v>10000.0</v>
      </c>
      <c r="G83" s="137">
        <v>10000.0</v>
      </c>
      <c r="H83" s="137">
        <v>10000.0</v>
      </c>
      <c r="I83" s="137">
        <v>10000.0</v>
      </c>
      <c r="J83" s="137">
        <v>10000.0</v>
      </c>
      <c r="K83" s="137">
        <v>10000.0</v>
      </c>
      <c r="L83" s="137">
        <v>10000.0</v>
      </c>
      <c r="M83" s="137">
        <v>10000.0</v>
      </c>
      <c r="N83" s="137">
        <v>10000.0</v>
      </c>
      <c r="O83" s="137">
        <v>10000.0</v>
      </c>
      <c r="P83" s="126"/>
      <c r="Q83" s="126"/>
      <c r="R83" s="145">
        <f t="shared" si="3"/>
        <v>16</v>
      </c>
      <c r="S83" s="141" t="s">
        <v>199</v>
      </c>
      <c r="T83" s="148">
        <v>3000.0</v>
      </c>
      <c r="U83" s="126"/>
      <c r="W83" s="11">
        <f t="shared" si="4"/>
        <v>11</v>
      </c>
      <c r="X83" s="119" t="s">
        <v>193</v>
      </c>
      <c r="Y83" s="154">
        <v>5000.0</v>
      </c>
    </row>
    <row r="84" ht="24.75" customHeight="1">
      <c r="A84" s="134">
        <f t="shared" si="2"/>
        <v>17</v>
      </c>
      <c r="B84" s="134" t="s">
        <v>69</v>
      </c>
      <c r="C84" s="135">
        <v>10000.0</v>
      </c>
      <c r="D84" s="137">
        <v>10000.0</v>
      </c>
      <c r="E84" s="137">
        <v>10000.0</v>
      </c>
      <c r="F84" s="138">
        <v>10000.0</v>
      </c>
      <c r="G84" s="137">
        <v>10000.0</v>
      </c>
      <c r="H84" s="137">
        <v>10000.0</v>
      </c>
      <c r="I84" s="137">
        <v>10000.0</v>
      </c>
      <c r="J84" s="137">
        <v>10000.0</v>
      </c>
      <c r="K84" s="137">
        <v>10000.0</v>
      </c>
      <c r="L84" s="137">
        <v>10000.0</v>
      </c>
      <c r="M84" s="137">
        <v>10000.0</v>
      </c>
      <c r="N84" s="137">
        <v>10000.0</v>
      </c>
      <c r="O84" s="137">
        <v>10000.0</v>
      </c>
      <c r="P84" s="126"/>
      <c r="Q84" s="126"/>
      <c r="R84" s="145">
        <f t="shared" si="3"/>
        <v>17</v>
      </c>
      <c r="S84" s="141" t="s">
        <v>200</v>
      </c>
      <c r="T84" s="142">
        <v>5000.0</v>
      </c>
      <c r="U84" s="126"/>
      <c r="W84" s="11">
        <f t="shared" si="4"/>
        <v>12</v>
      </c>
      <c r="X84" s="119" t="s">
        <v>194</v>
      </c>
      <c r="Y84" s="154">
        <v>5000.0</v>
      </c>
    </row>
    <row r="85" ht="24.75" customHeight="1">
      <c r="A85" s="134">
        <f t="shared" si="2"/>
        <v>18</v>
      </c>
      <c r="B85" s="134" t="s">
        <v>73</v>
      </c>
      <c r="C85" s="135">
        <v>10000.0</v>
      </c>
      <c r="D85" s="137">
        <v>10000.0</v>
      </c>
      <c r="E85" s="137">
        <v>10000.0</v>
      </c>
      <c r="F85" s="138">
        <v>10000.0</v>
      </c>
      <c r="G85" s="137">
        <v>10000.0</v>
      </c>
      <c r="H85" s="137">
        <v>10000.0</v>
      </c>
      <c r="I85" s="137">
        <v>10000.0</v>
      </c>
      <c r="J85" s="137">
        <v>10000.0</v>
      </c>
      <c r="K85" s="137">
        <v>10000.0</v>
      </c>
      <c r="L85" s="137">
        <v>10000.0</v>
      </c>
      <c r="M85" s="137">
        <v>10000.0</v>
      </c>
      <c r="N85" s="137">
        <v>10000.0</v>
      </c>
      <c r="O85" s="137">
        <v>10000.0</v>
      </c>
      <c r="P85" s="126"/>
      <c r="Q85" s="126"/>
      <c r="R85" s="145">
        <f t="shared" si="3"/>
        <v>18</v>
      </c>
      <c r="S85" s="141" t="s">
        <v>202</v>
      </c>
      <c r="T85" s="142">
        <v>5000.0</v>
      </c>
      <c r="U85" s="126"/>
      <c r="W85" s="11">
        <f t="shared" si="4"/>
        <v>13</v>
      </c>
      <c r="X85" s="119" t="s">
        <v>195</v>
      </c>
      <c r="Y85" s="154">
        <v>5000.0</v>
      </c>
    </row>
    <row r="86" ht="24.75" customHeight="1">
      <c r="A86" s="134">
        <f t="shared" si="2"/>
        <v>19</v>
      </c>
      <c r="B86" s="134" t="s">
        <v>76</v>
      </c>
      <c r="C86" s="135">
        <v>10000.0</v>
      </c>
      <c r="D86" s="137">
        <v>10000.0</v>
      </c>
      <c r="E86" s="137">
        <v>10000.0</v>
      </c>
      <c r="F86" s="138">
        <v>10000.0</v>
      </c>
      <c r="G86" s="137">
        <v>10000.0</v>
      </c>
      <c r="H86" s="137">
        <v>10000.0</v>
      </c>
      <c r="I86" s="137">
        <v>10000.0</v>
      </c>
      <c r="J86" s="137">
        <v>10000.0</v>
      </c>
      <c r="K86" s="137">
        <v>10000.0</v>
      </c>
      <c r="L86" s="137">
        <v>10000.0</v>
      </c>
      <c r="M86" s="137">
        <v>10000.0</v>
      </c>
      <c r="N86" s="137">
        <v>10000.0</v>
      </c>
      <c r="O86" s="137">
        <v>10000.0</v>
      </c>
      <c r="P86" s="126"/>
      <c r="Q86" s="126"/>
      <c r="R86" s="145">
        <f t="shared" si="3"/>
        <v>19</v>
      </c>
      <c r="S86" s="141" t="s">
        <v>204</v>
      </c>
      <c r="T86" s="142">
        <v>3000.0</v>
      </c>
      <c r="U86" s="126"/>
      <c r="W86" s="11">
        <f t="shared" si="4"/>
        <v>14</v>
      </c>
      <c r="X86" s="119" t="s">
        <v>196</v>
      </c>
      <c r="Y86" s="154">
        <v>5000.0</v>
      </c>
    </row>
    <row r="87" ht="24.75" customHeight="1">
      <c r="A87" s="134">
        <f t="shared" si="2"/>
        <v>20</v>
      </c>
      <c r="B87" s="134" t="s">
        <v>81</v>
      </c>
      <c r="C87" s="143">
        <v>10000.0</v>
      </c>
      <c r="D87" s="137">
        <v>10000.0</v>
      </c>
      <c r="E87" s="137">
        <v>10000.0</v>
      </c>
      <c r="F87" s="138">
        <v>10000.0</v>
      </c>
      <c r="G87" s="137">
        <v>10000.0</v>
      </c>
      <c r="H87" s="137">
        <v>10000.0</v>
      </c>
      <c r="I87" s="137">
        <v>10000.0</v>
      </c>
      <c r="J87" s="137">
        <v>10000.0</v>
      </c>
      <c r="K87" s="137">
        <v>10000.0</v>
      </c>
      <c r="L87" s="137">
        <v>10000.0</v>
      </c>
      <c r="M87" s="137">
        <v>10000.0</v>
      </c>
      <c r="N87" s="137">
        <v>10000.0</v>
      </c>
      <c r="O87" s="137">
        <v>10000.0</v>
      </c>
      <c r="P87" s="126"/>
      <c r="Q87" s="126"/>
      <c r="R87" s="145">
        <f t="shared" si="3"/>
        <v>20</v>
      </c>
      <c r="S87" s="178" t="s">
        <v>205</v>
      </c>
      <c r="T87" s="180">
        <v>2000.0</v>
      </c>
      <c r="U87" s="126"/>
      <c r="W87" s="11">
        <f t="shared" si="4"/>
        <v>15</v>
      </c>
      <c r="X87" s="119" t="s">
        <v>197</v>
      </c>
      <c r="Y87" s="154">
        <v>5000.0</v>
      </c>
    </row>
    <row r="88" ht="24.75" customHeight="1">
      <c r="A88" s="134">
        <f t="shared" si="2"/>
        <v>21</v>
      </c>
      <c r="B88" s="134" t="s">
        <v>91</v>
      </c>
      <c r="C88" s="143">
        <v>5000.0</v>
      </c>
      <c r="D88" s="137" t="s">
        <v>203</v>
      </c>
      <c r="E88" s="137" t="s">
        <v>203</v>
      </c>
      <c r="F88" s="137" t="s">
        <v>203</v>
      </c>
      <c r="G88" s="137" t="s">
        <v>203</v>
      </c>
      <c r="H88" s="137" t="s">
        <v>203</v>
      </c>
      <c r="I88" s="137" t="s">
        <v>203</v>
      </c>
      <c r="J88" s="134"/>
      <c r="K88" s="134"/>
      <c r="L88" s="134"/>
      <c r="M88" s="134"/>
      <c r="N88" s="134"/>
      <c r="O88" s="134"/>
      <c r="P88" s="126"/>
      <c r="Q88" s="126"/>
      <c r="R88" s="145">
        <f t="shared" si="3"/>
        <v>21</v>
      </c>
      <c r="S88" s="137" t="s">
        <v>207</v>
      </c>
      <c r="T88" s="148">
        <v>3000.0</v>
      </c>
      <c r="U88" s="126"/>
      <c r="W88" s="11">
        <f t="shared" si="4"/>
        <v>16</v>
      </c>
      <c r="X88" s="119" t="s">
        <v>198</v>
      </c>
      <c r="Y88" s="154">
        <v>3000.0</v>
      </c>
    </row>
    <row r="89" ht="24.75" customHeight="1">
      <c r="A89" s="134">
        <f t="shared" si="2"/>
        <v>22</v>
      </c>
      <c r="B89" s="134" t="s">
        <v>94</v>
      </c>
      <c r="C89" s="135">
        <v>10000.0</v>
      </c>
      <c r="D89" s="137">
        <v>10000.0</v>
      </c>
      <c r="E89" s="137">
        <v>10000.0</v>
      </c>
      <c r="F89" s="138">
        <v>10000.0</v>
      </c>
      <c r="G89" s="137">
        <v>10000.0</v>
      </c>
      <c r="H89" s="137">
        <v>10000.0</v>
      </c>
      <c r="I89" s="137">
        <v>10000.0</v>
      </c>
      <c r="J89" s="137">
        <v>10000.0</v>
      </c>
      <c r="K89" s="137">
        <v>10000.0</v>
      </c>
      <c r="L89" s="137">
        <v>10000.0</v>
      </c>
      <c r="M89" s="137">
        <v>10000.0</v>
      </c>
      <c r="N89" s="137">
        <v>10000.0</v>
      </c>
      <c r="O89" s="137">
        <v>10000.0</v>
      </c>
      <c r="P89" s="126"/>
      <c r="Q89" s="126"/>
      <c r="R89" s="145">
        <f t="shared" si="3"/>
        <v>22</v>
      </c>
      <c r="S89" s="185" t="s">
        <v>209</v>
      </c>
      <c r="T89" s="148">
        <v>10000.0</v>
      </c>
      <c r="U89" s="126"/>
      <c r="W89" s="11">
        <f t="shared" si="4"/>
        <v>17</v>
      </c>
      <c r="X89" s="119" t="s">
        <v>199</v>
      </c>
      <c r="Y89" s="164">
        <v>3000.0</v>
      </c>
    </row>
    <row r="90" ht="24.75" customHeight="1">
      <c r="A90" s="134">
        <f t="shared" si="2"/>
        <v>23</v>
      </c>
      <c r="B90" s="134" t="s">
        <v>97</v>
      </c>
      <c r="C90" s="135">
        <v>10000.0</v>
      </c>
      <c r="D90" s="137">
        <v>10000.0</v>
      </c>
      <c r="E90" s="137">
        <v>10000.0</v>
      </c>
      <c r="F90" s="138">
        <v>10000.0</v>
      </c>
      <c r="G90" s="137">
        <v>10000.0</v>
      </c>
      <c r="H90" s="137">
        <v>10000.0</v>
      </c>
      <c r="I90" s="137">
        <v>10000.0</v>
      </c>
      <c r="J90" s="137">
        <v>10000.0</v>
      </c>
      <c r="K90" s="137">
        <v>10000.0</v>
      </c>
      <c r="L90" s="137">
        <v>10000.0</v>
      </c>
      <c r="M90" s="137">
        <v>10000.0</v>
      </c>
      <c r="N90" s="137">
        <v>10000.0</v>
      </c>
      <c r="O90" s="137">
        <v>10000.0</v>
      </c>
      <c r="P90" s="126"/>
      <c r="Q90" s="126"/>
      <c r="R90" s="145">
        <f t="shared" si="3"/>
        <v>23</v>
      </c>
      <c r="S90" s="185" t="s">
        <v>210</v>
      </c>
      <c r="T90" s="148">
        <v>12000.0</v>
      </c>
      <c r="U90" s="126"/>
      <c r="W90" s="11">
        <f t="shared" si="4"/>
        <v>18</v>
      </c>
      <c r="X90" s="119" t="s">
        <v>200</v>
      </c>
      <c r="Y90" s="154">
        <v>5000.0</v>
      </c>
    </row>
    <row r="91" ht="24.75" customHeight="1">
      <c r="A91" s="134">
        <f t="shared" si="2"/>
        <v>24</v>
      </c>
      <c r="B91" s="134" t="s">
        <v>99</v>
      </c>
      <c r="C91" s="135">
        <v>3000.0</v>
      </c>
      <c r="D91" s="137" t="s">
        <v>203</v>
      </c>
      <c r="E91" s="137" t="s">
        <v>203</v>
      </c>
      <c r="F91" s="137" t="s">
        <v>203</v>
      </c>
      <c r="G91" s="137" t="s">
        <v>203</v>
      </c>
      <c r="H91" s="137" t="s">
        <v>203</v>
      </c>
      <c r="I91" s="137" t="s">
        <v>203</v>
      </c>
      <c r="J91" s="134"/>
      <c r="K91" s="134"/>
      <c r="L91" s="134"/>
      <c r="M91" s="134"/>
      <c r="N91" s="134"/>
      <c r="O91" s="134"/>
      <c r="P91" s="126"/>
      <c r="Q91" s="126"/>
      <c r="R91" s="145">
        <f t="shared" si="3"/>
        <v>24</v>
      </c>
      <c r="S91" s="185" t="s">
        <v>211</v>
      </c>
      <c r="T91" s="148">
        <v>3000.0</v>
      </c>
      <c r="U91" s="126"/>
      <c r="W91" s="11">
        <f t="shared" si="4"/>
        <v>19</v>
      </c>
      <c r="X91" s="119" t="s">
        <v>202</v>
      </c>
      <c r="Y91" s="154">
        <v>5000.0</v>
      </c>
    </row>
    <row r="92" ht="24.75" customHeight="1">
      <c r="A92" s="134">
        <f t="shared" si="2"/>
        <v>25</v>
      </c>
      <c r="B92" s="134" t="s">
        <v>108</v>
      </c>
      <c r="C92" s="135">
        <v>3000.0</v>
      </c>
      <c r="D92" s="137" t="s">
        <v>203</v>
      </c>
      <c r="E92" s="137" t="s">
        <v>203</v>
      </c>
      <c r="F92" s="137" t="s">
        <v>203</v>
      </c>
      <c r="G92" s="137" t="s">
        <v>203</v>
      </c>
      <c r="H92" s="137" t="s">
        <v>203</v>
      </c>
      <c r="I92" s="137" t="s">
        <v>203</v>
      </c>
      <c r="J92" s="134"/>
      <c r="K92" s="134"/>
      <c r="L92" s="134"/>
      <c r="M92" s="134"/>
      <c r="N92" s="134"/>
      <c r="O92" s="134"/>
      <c r="P92" s="126"/>
      <c r="Q92" s="126"/>
      <c r="R92" s="145">
        <f t="shared" si="3"/>
        <v>25</v>
      </c>
      <c r="S92" s="185" t="s">
        <v>212</v>
      </c>
      <c r="T92" s="148">
        <v>2000.0</v>
      </c>
      <c r="U92" s="126"/>
      <c r="W92" s="11">
        <f t="shared" si="4"/>
        <v>20</v>
      </c>
      <c r="X92" s="119" t="s">
        <v>204</v>
      </c>
      <c r="Y92" s="154">
        <v>3000.0</v>
      </c>
    </row>
    <row r="93" ht="24.75" customHeight="1">
      <c r="A93" s="134">
        <f t="shared" si="2"/>
        <v>26</v>
      </c>
      <c r="B93" s="134" t="s">
        <v>111</v>
      </c>
      <c r="C93" s="135">
        <v>3000.0</v>
      </c>
      <c r="D93" s="137" t="s">
        <v>203</v>
      </c>
      <c r="E93" s="137" t="s">
        <v>203</v>
      </c>
      <c r="F93" s="137" t="s">
        <v>203</v>
      </c>
      <c r="G93" s="137" t="s">
        <v>203</v>
      </c>
      <c r="H93" s="137" t="s">
        <v>203</v>
      </c>
      <c r="I93" s="137" t="s">
        <v>203</v>
      </c>
      <c r="J93" s="134"/>
      <c r="K93" s="134"/>
      <c r="L93" s="134"/>
      <c r="M93" s="134"/>
      <c r="N93" s="134"/>
      <c r="O93" s="134"/>
      <c r="P93" s="126"/>
      <c r="Q93" s="126"/>
      <c r="R93" s="145">
        <f t="shared" si="3"/>
        <v>26</v>
      </c>
      <c r="S93" s="185" t="s">
        <v>213</v>
      </c>
      <c r="T93" s="148">
        <v>5500.0</v>
      </c>
      <c r="U93" s="126"/>
    </row>
    <row r="94" ht="24.75" customHeight="1">
      <c r="A94" s="134">
        <f t="shared" si="2"/>
        <v>27</v>
      </c>
      <c r="B94" s="134" t="s">
        <v>114</v>
      </c>
      <c r="C94" s="143">
        <v>5000.0</v>
      </c>
      <c r="D94" s="137">
        <v>5000.0</v>
      </c>
      <c r="E94" s="137">
        <v>5000.0</v>
      </c>
      <c r="F94" s="138">
        <v>5000.0</v>
      </c>
      <c r="G94" s="137">
        <v>5000.0</v>
      </c>
      <c r="H94" s="137">
        <v>5000.0</v>
      </c>
      <c r="I94" s="137">
        <v>5000.0</v>
      </c>
      <c r="J94" s="137">
        <v>5000.0</v>
      </c>
      <c r="K94" s="137">
        <v>5000.0</v>
      </c>
      <c r="L94" s="137">
        <v>5000.0</v>
      </c>
      <c r="M94" s="137">
        <v>5000.0</v>
      </c>
      <c r="N94" s="137">
        <v>5000.0</v>
      </c>
      <c r="O94" s="137">
        <v>5000.0</v>
      </c>
      <c r="P94" s="126"/>
      <c r="Q94" s="126"/>
      <c r="R94" s="145">
        <f t="shared" si="3"/>
        <v>27</v>
      </c>
      <c r="S94" s="193" t="s">
        <v>7</v>
      </c>
      <c r="T94" s="195">
        <v>15000.0</v>
      </c>
      <c r="U94" s="126"/>
    </row>
    <row r="95" ht="24.75" customHeight="1">
      <c r="A95" s="134">
        <f t="shared" si="2"/>
        <v>28</v>
      </c>
      <c r="B95" s="134" t="s">
        <v>115</v>
      </c>
      <c r="C95" s="135">
        <v>3000.0</v>
      </c>
      <c r="D95" s="137" t="s">
        <v>203</v>
      </c>
      <c r="E95" s="137" t="s">
        <v>203</v>
      </c>
      <c r="F95" s="137" t="s">
        <v>203</v>
      </c>
      <c r="G95" s="137" t="s">
        <v>203</v>
      </c>
      <c r="H95" s="137" t="s">
        <v>203</v>
      </c>
      <c r="I95" s="137" t="s">
        <v>203</v>
      </c>
      <c r="J95" s="134"/>
      <c r="K95" s="134"/>
      <c r="L95" s="134"/>
      <c r="M95" s="134"/>
      <c r="N95" s="134"/>
      <c r="O95" s="134"/>
      <c r="P95" s="126"/>
      <c r="Q95" s="126"/>
      <c r="R95" s="145">
        <f t="shared" si="3"/>
        <v>28</v>
      </c>
      <c r="S95" s="193" t="s">
        <v>27</v>
      </c>
      <c r="T95" s="195">
        <v>6000.0</v>
      </c>
      <c r="U95" s="126"/>
    </row>
    <row r="96" ht="24.75" customHeight="1">
      <c r="A96" s="134">
        <f t="shared" si="2"/>
        <v>29</v>
      </c>
      <c r="B96" s="134" t="s">
        <v>118</v>
      </c>
      <c r="C96" s="135">
        <v>3000.0</v>
      </c>
      <c r="D96" s="137">
        <v>3000.0</v>
      </c>
      <c r="E96" s="137">
        <v>3000.0</v>
      </c>
      <c r="F96" s="138">
        <v>3000.0</v>
      </c>
      <c r="G96" s="137">
        <v>3000.0</v>
      </c>
      <c r="H96" s="137">
        <v>3000.0</v>
      </c>
      <c r="I96" s="137">
        <v>3000.0</v>
      </c>
      <c r="J96" s="137">
        <v>3000.0</v>
      </c>
      <c r="K96" s="137">
        <v>3000.0</v>
      </c>
      <c r="L96" s="137">
        <v>3000.0</v>
      </c>
      <c r="M96" s="137">
        <v>3000.0</v>
      </c>
      <c r="N96" s="137">
        <v>3000.0</v>
      </c>
      <c r="O96" s="137">
        <v>3000.0</v>
      </c>
      <c r="P96" s="126"/>
      <c r="Q96" s="126"/>
      <c r="R96" s="145">
        <f t="shared" si="3"/>
        <v>29</v>
      </c>
      <c r="S96" s="193" t="s">
        <v>31</v>
      </c>
      <c r="T96" s="195">
        <v>3000.0</v>
      </c>
      <c r="U96" s="126"/>
    </row>
    <row r="97" ht="24.75" customHeight="1">
      <c r="A97" s="134">
        <f t="shared" si="2"/>
        <v>30</v>
      </c>
      <c r="B97" s="134" t="s">
        <v>122</v>
      </c>
      <c r="C97" s="135">
        <v>7000.0</v>
      </c>
      <c r="D97" s="137">
        <v>7000.0</v>
      </c>
      <c r="E97" s="137">
        <v>7000.0</v>
      </c>
      <c r="F97" s="138">
        <v>7000.0</v>
      </c>
      <c r="G97" s="137">
        <v>7000.0</v>
      </c>
      <c r="H97" s="137">
        <v>7000.0</v>
      </c>
      <c r="I97" s="137">
        <v>7000.0</v>
      </c>
      <c r="J97" s="137">
        <v>7000.0</v>
      </c>
      <c r="K97" s="137">
        <v>7000.0</v>
      </c>
      <c r="L97" s="137">
        <v>7000.0</v>
      </c>
      <c r="M97" s="137">
        <v>7000.0</v>
      </c>
      <c r="N97" s="137">
        <v>7000.0</v>
      </c>
      <c r="O97" s="137">
        <v>7000.0</v>
      </c>
      <c r="P97" s="126"/>
      <c r="Q97" s="126"/>
      <c r="R97" s="145">
        <f t="shared" si="3"/>
        <v>30</v>
      </c>
      <c r="S97" s="193" t="s">
        <v>36</v>
      </c>
      <c r="T97" s="148">
        <v>10000.0</v>
      </c>
      <c r="U97" s="126"/>
    </row>
    <row r="98" ht="24.75" customHeight="1">
      <c r="A98" s="134">
        <f t="shared" si="2"/>
        <v>31</v>
      </c>
      <c r="B98" s="134" t="s">
        <v>123</v>
      </c>
      <c r="C98" s="135">
        <v>3000.0</v>
      </c>
      <c r="D98" s="137">
        <v>3000.0</v>
      </c>
      <c r="E98" s="137">
        <v>3000.0</v>
      </c>
      <c r="F98" s="138">
        <v>3000.0</v>
      </c>
      <c r="G98" s="137">
        <v>3000.0</v>
      </c>
      <c r="H98" s="137">
        <v>3000.0</v>
      </c>
      <c r="I98" s="137">
        <v>3000.0</v>
      </c>
      <c r="J98" s="137">
        <v>3000.0</v>
      </c>
      <c r="K98" s="137">
        <v>3000.0</v>
      </c>
      <c r="L98" s="137">
        <v>3000.0</v>
      </c>
      <c r="M98" s="137">
        <v>3000.0</v>
      </c>
      <c r="N98" s="137">
        <v>3000.0</v>
      </c>
      <c r="O98" s="137">
        <v>3000.0</v>
      </c>
      <c r="P98" s="126"/>
      <c r="Q98" s="126"/>
      <c r="R98" s="145">
        <f t="shared" si="3"/>
        <v>31</v>
      </c>
      <c r="S98" s="193" t="s">
        <v>40</v>
      </c>
      <c r="T98" s="195">
        <v>10000.0</v>
      </c>
      <c r="U98" s="126"/>
    </row>
    <row r="99" ht="24.75" customHeight="1">
      <c r="A99" s="134">
        <f t="shared" si="2"/>
        <v>32</v>
      </c>
      <c r="B99" s="134" t="s">
        <v>124</v>
      </c>
      <c r="C99" s="135">
        <v>3000.0</v>
      </c>
      <c r="D99" s="137">
        <v>3000.0</v>
      </c>
      <c r="E99" s="137">
        <v>3000.0</v>
      </c>
      <c r="F99" s="138">
        <v>3000.0</v>
      </c>
      <c r="G99" s="137">
        <v>3000.0</v>
      </c>
      <c r="H99" s="137">
        <v>3000.0</v>
      </c>
      <c r="I99" s="137">
        <v>3000.0</v>
      </c>
      <c r="J99" s="137">
        <v>3000.0</v>
      </c>
      <c r="K99" s="137">
        <v>3000.0</v>
      </c>
      <c r="L99" s="137">
        <v>3000.0</v>
      </c>
      <c r="M99" s="137">
        <v>3000.0</v>
      </c>
      <c r="N99" s="137">
        <v>3000.0</v>
      </c>
      <c r="O99" s="137">
        <v>3000.0</v>
      </c>
      <c r="P99" s="126"/>
      <c r="Q99" s="126"/>
      <c r="R99" s="145">
        <f t="shared" si="3"/>
        <v>32</v>
      </c>
      <c r="S99" s="193" t="s">
        <v>45</v>
      </c>
      <c r="T99" s="195">
        <v>10000.0</v>
      </c>
      <c r="U99" s="126"/>
    </row>
    <row r="100" ht="24.75" customHeight="1">
      <c r="A100" s="134">
        <f t="shared" si="2"/>
        <v>33</v>
      </c>
      <c r="B100" s="134" t="s">
        <v>125</v>
      </c>
      <c r="C100" s="135">
        <v>3000.0</v>
      </c>
      <c r="D100" s="137">
        <v>3000.0</v>
      </c>
      <c r="E100" s="137">
        <v>3000.0</v>
      </c>
      <c r="F100" s="138">
        <v>3000.0</v>
      </c>
      <c r="G100" s="137">
        <v>3000.0</v>
      </c>
      <c r="H100" s="137">
        <v>3000.0</v>
      </c>
      <c r="I100" s="137">
        <v>3000.0</v>
      </c>
      <c r="J100" s="137">
        <v>3000.0</v>
      </c>
      <c r="K100" s="137">
        <v>3000.0</v>
      </c>
      <c r="L100" s="137">
        <v>3000.0</v>
      </c>
      <c r="M100" s="137">
        <v>3000.0</v>
      </c>
      <c r="N100" s="137">
        <v>3000.0</v>
      </c>
      <c r="O100" s="137">
        <v>3000.0</v>
      </c>
      <c r="P100" s="126"/>
      <c r="Q100" s="126"/>
      <c r="R100" s="145">
        <f t="shared" si="3"/>
        <v>33</v>
      </c>
      <c r="S100" s="193" t="s">
        <v>48</v>
      </c>
      <c r="T100" s="195">
        <v>3000.0</v>
      </c>
      <c r="U100" s="126"/>
    </row>
    <row r="101" ht="24.75" customHeight="1">
      <c r="A101" s="134">
        <f t="shared" si="2"/>
        <v>34</v>
      </c>
      <c r="B101" s="134" t="s">
        <v>126</v>
      </c>
      <c r="C101" s="143">
        <v>5000.0</v>
      </c>
      <c r="D101" s="137">
        <v>5000.0</v>
      </c>
      <c r="E101" s="137">
        <v>5000.0</v>
      </c>
      <c r="F101" s="138">
        <v>5000.0</v>
      </c>
      <c r="G101" s="137">
        <v>5000.0</v>
      </c>
      <c r="H101" s="137">
        <v>5000.0</v>
      </c>
      <c r="I101" s="137">
        <v>5000.0</v>
      </c>
      <c r="J101" s="137">
        <v>5000.0</v>
      </c>
      <c r="K101" s="137">
        <v>5000.0</v>
      </c>
      <c r="L101" s="137">
        <v>5000.0</v>
      </c>
      <c r="M101" s="137">
        <v>5000.0</v>
      </c>
      <c r="N101" s="137">
        <v>5000.0</v>
      </c>
      <c r="O101" s="137">
        <v>5000.0</v>
      </c>
      <c r="P101" s="126"/>
      <c r="Q101" s="126"/>
      <c r="R101" s="145">
        <f t="shared" si="3"/>
        <v>34</v>
      </c>
      <c r="S101" s="193" t="s">
        <v>53</v>
      </c>
      <c r="T101" s="195">
        <v>3000.0</v>
      </c>
      <c r="U101" s="126"/>
    </row>
    <row r="102" ht="24.75" customHeight="1">
      <c r="A102" s="134">
        <f t="shared" si="2"/>
        <v>35</v>
      </c>
      <c r="B102" s="134" t="s">
        <v>128</v>
      </c>
      <c r="C102" s="135">
        <v>3000.0</v>
      </c>
      <c r="D102" s="137">
        <v>3000.0</v>
      </c>
      <c r="E102" s="137">
        <v>3000.0</v>
      </c>
      <c r="F102" s="138">
        <v>3000.0</v>
      </c>
      <c r="G102" s="137">
        <v>3000.0</v>
      </c>
      <c r="H102" s="137">
        <v>3000.0</v>
      </c>
      <c r="I102" s="137">
        <v>3000.0</v>
      </c>
      <c r="J102" s="137">
        <v>3000.0</v>
      </c>
      <c r="K102" s="137">
        <v>3000.0</v>
      </c>
      <c r="L102" s="137">
        <v>3000.0</v>
      </c>
      <c r="M102" s="137">
        <v>3000.0</v>
      </c>
      <c r="N102" s="137">
        <v>3000.0</v>
      </c>
      <c r="O102" s="137">
        <v>3000.0</v>
      </c>
      <c r="P102" s="126"/>
      <c r="Q102" s="126"/>
      <c r="R102" s="145">
        <f t="shared" si="3"/>
        <v>35</v>
      </c>
      <c r="S102" s="193" t="s">
        <v>56</v>
      </c>
      <c r="T102" s="195">
        <v>3000.0</v>
      </c>
      <c r="U102" s="126"/>
    </row>
    <row r="103" ht="24.75" customHeight="1">
      <c r="A103" s="134">
        <f t="shared" si="2"/>
        <v>36</v>
      </c>
      <c r="B103" s="134" t="s">
        <v>129</v>
      </c>
      <c r="C103" s="135">
        <v>3000.0</v>
      </c>
      <c r="D103" s="137">
        <v>3000.0</v>
      </c>
      <c r="E103" s="137">
        <v>3000.0</v>
      </c>
      <c r="F103" s="138">
        <v>3000.0</v>
      </c>
      <c r="G103" s="137">
        <v>3000.0</v>
      </c>
      <c r="H103" s="137">
        <v>3000.0</v>
      </c>
      <c r="I103" s="137">
        <v>3000.0</v>
      </c>
      <c r="J103" s="137">
        <v>3000.0</v>
      </c>
      <c r="K103" s="137">
        <v>3000.0</v>
      </c>
      <c r="L103" s="137">
        <v>3000.0</v>
      </c>
      <c r="M103" s="137">
        <v>3000.0</v>
      </c>
      <c r="N103" s="137">
        <v>3000.0</v>
      </c>
      <c r="O103" s="137">
        <v>3000.0</v>
      </c>
      <c r="P103" s="126"/>
      <c r="Q103" s="126"/>
      <c r="R103" s="145">
        <f t="shared" si="3"/>
        <v>36</v>
      </c>
      <c r="S103" s="193" t="s">
        <v>63</v>
      </c>
      <c r="T103" s="195">
        <v>10000.0</v>
      </c>
      <c r="U103" s="126"/>
    </row>
    <row r="104" ht="24.75" customHeight="1">
      <c r="A104" s="134">
        <f t="shared" si="2"/>
        <v>37</v>
      </c>
      <c r="B104" s="134" t="s">
        <v>130</v>
      </c>
      <c r="C104" s="135">
        <v>3000.0</v>
      </c>
      <c r="D104" s="137">
        <v>3000.0</v>
      </c>
      <c r="E104" s="137">
        <v>3000.0</v>
      </c>
      <c r="F104" s="138">
        <v>3000.0</v>
      </c>
      <c r="G104" s="137">
        <v>3000.0</v>
      </c>
      <c r="H104" s="137">
        <v>3000.0</v>
      </c>
      <c r="I104" s="137">
        <v>3000.0</v>
      </c>
      <c r="J104" s="137">
        <v>3000.0</v>
      </c>
      <c r="K104" s="137">
        <v>3000.0</v>
      </c>
      <c r="L104" s="137">
        <v>3000.0</v>
      </c>
      <c r="M104" s="137">
        <v>3000.0</v>
      </c>
      <c r="N104" s="137">
        <v>3000.0</v>
      </c>
      <c r="O104" s="137">
        <v>3000.0</v>
      </c>
      <c r="P104" s="126"/>
      <c r="Q104" s="126"/>
      <c r="R104" s="145">
        <f t="shared" si="3"/>
        <v>37</v>
      </c>
      <c r="S104" s="193" t="s">
        <v>69</v>
      </c>
      <c r="T104" s="195">
        <v>10000.0</v>
      </c>
      <c r="U104" s="126"/>
    </row>
    <row r="105" ht="24.75" customHeight="1">
      <c r="A105" s="134">
        <f t="shared" si="2"/>
        <v>38</v>
      </c>
      <c r="B105" s="134" t="s">
        <v>131</v>
      </c>
      <c r="C105" s="135">
        <v>3000.0</v>
      </c>
      <c r="D105" s="137">
        <v>3000.0</v>
      </c>
      <c r="E105" s="137">
        <v>3000.0</v>
      </c>
      <c r="F105" s="138">
        <v>3000.0</v>
      </c>
      <c r="G105" s="137">
        <v>3000.0</v>
      </c>
      <c r="H105" s="137">
        <v>3000.0</v>
      </c>
      <c r="I105" s="137">
        <v>3000.0</v>
      </c>
      <c r="J105" s="137">
        <v>3000.0</v>
      </c>
      <c r="K105" s="137">
        <v>3000.0</v>
      </c>
      <c r="L105" s="137">
        <v>3000.0</v>
      </c>
      <c r="M105" s="137">
        <v>3000.0</v>
      </c>
      <c r="N105" s="137">
        <v>3000.0</v>
      </c>
      <c r="O105" s="137">
        <v>3000.0</v>
      </c>
      <c r="P105" s="126"/>
      <c r="Q105" s="126"/>
      <c r="R105" s="145">
        <f t="shared" si="3"/>
        <v>38</v>
      </c>
      <c r="S105" s="193" t="s">
        <v>73</v>
      </c>
      <c r="T105" s="195">
        <v>10000.0</v>
      </c>
      <c r="U105" s="126"/>
    </row>
    <row r="106" ht="24.75" customHeight="1">
      <c r="A106" s="134">
        <f t="shared" si="2"/>
        <v>39</v>
      </c>
      <c r="B106" s="134" t="s">
        <v>133</v>
      </c>
      <c r="C106" s="135">
        <v>3000.0</v>
      </c>
      <c r="D106" s="137">
        <v>3000.0</v>
      </c>
      <c r="E106" s="137">
        <v>3000.0</v>
      </c>
      <c r="F106" s="138">
        <v>3000.0</v>
      </c>
      <c r="G106" s="137">
        <v>3000.0</v>
      </c>
      <c r="H106" s="137">
        <v>3000.0</v>
      </c>
      <c r="I106" s="137">
        <v>3000.0</v>
      </c>
      <c r="J106" s="137">
        <v>3000.0</v>
      </c>
      <c r="K106" s="137">
        <v>3000.0</v>
      </c>
      <c r="L106" s="137">
        <v>3000.0</v>
      </c>
      <c r="M106" s="137">
        <v>3000.0</v>
      </c>
      <c r="N106" s="137">
        <v>3000.0</v>
      </c>
      <c r="O106" s="137">
        <v>3000.0</v>
      </c>
      <c r="P106" s="126"/>
      <c r="Q106" s="126"/>
      <c r="R106" s="145">
        <f t="shared" si="3"/>
        <v>39</v>
      </c>
      <c r="S106" s="193" t="s">
        <v>76</v>
      </c>
      <c r="T106" s="195">
        <v>10000.0</v>
      </c>
      <c r="U106" s="126"/>
    </row>
    <row r="107" ht="24.75" customHeight="1">
      <c r="A107" s="134">
        <f t="shared" si="2"/>
        <v>40</v>
      </c>
      <c r="B107" s="137" t="s">
        <v>134</v>
      </c>
      <c r="C107" s="135">
        <v>3000.0</v>
      </c>
      <c r="D107" s="137">
        <v>3000.0</v>
      </c>
      <c r="E107" s="137">
        <v>3000.0</v>
      </c>
      <c r="F107" s="138">
        <v>3000.0</v>
      </c>
      <c r="G107" s="137">
        <v>3000.0</v>
      </c>
      <c r="H107" s="137">
        <v>3000.0</v>
      </c>
      <c r="I107" s="137">
        <v>3000.0</v>
      </c>
      <c r="J107" s="137">
        <v>3000.0</v>
      </c>
      <c r="K107" s="137">
        <v>3000.0</v>
      </c>
      <c r="L107" s="137">
        <v>3000.0</v>
      </c>
      <c r="M107" s="137">
        <v>3000.0</v>
      </c>
      <c r="N107" s="137">
        <v>3000.0</v>
      </c>
      <c r="O107" s="137">
        <v>3000.0</v>
      </c>
      <c r="P107" s="126"/>
      <c r="Q107" s="126"/>
      <c r="R107" s="145">
        <f t="shared" si="3"/>
        <v>40</v>
      </c>
      <c r="S107" s="193" t="s">
        <v>81</v>
      </c>
      <c r="T107" s="195">
        <v>5000.0</v>
      </c>
      <c r="U107" s="126"/>
    </row>
    <row r="108" ht="24.75" customHeight="1">
      <c r="A108" s="134">
        <f t="shared" si="2"/>
        <v>41</v>
      </c>
      <c r="B108" s="134" t="s">
        <v>135</v>
      </c>
      <c r="C108" s="135">
        <v>3000.0</v>
      </c>
      <c r="D108" s="137">
        <v>3000.0</v>
      </c>
      <c r="E108" s="137">
        <v>3000.0</v>
      </c>
      <c r="F108" s="138">
        <v>3000.0</v>
      </c>
      <c r="G108" s="137">
        <v>3000.0</v>
      </c>
      <c r="H108" s="137">
        <v>3000.0</v>
      </c>
      <c r="I108" s="137">
        <v>3000.0</v>
      </c>
      <c r="J108" s="137">
        <v>3000.0</v>
      </c>
      <c r="K108" s="137">
        <v>3000.0</v>
      </c>
      <c r="L108" s="137">
        <v>3000.0</v>
      </c>
      <c r="M108" s="137">
        <v>3000.0</v>
      </c>
      <c r="N108" s="137">
        <v>3000.0</v>
      </c>
      <c r="O108" s="137">
        <v>3000.0</v>
      </c>
      <c r="P108" s="126"/>
      <c r="Q108" s="126"/>
      <c r="R108" s="145">
        <f t="shared" si="3"/>
        <v>41</v>
      </c>
      <c r="S108" s="193" t="s">
        <v>85</v>
      </c>
      <c r="T108" s="195">
        <v>10000.0</v>
      </c>
      <c r="U108" s="126"/>
    </row>
    <row r="109" ht="24.75" customHeight="1">
      <c r="A109" s="134">
        <f t="shared" si="2"/>
        <v>42</v>
      </c>
      <c r="B109" s="134" t="s">
        <v>137</v>
      </c>
      <c r="C109" s="135">
        <v>6000.0</v>
      </c>
      <c r="D109" s="137">
        <v>6000.0</v>
      </c>
      <c r="E109" s="137">
        <v>6000.0</v>
      </c>
      <c r="F109" s="138">
        <v>6000.0</v>
      </c>
      <c r="G109" s="137">
        <v>6000.0</v>
      </c>
      <c r="H109" s="137">
        <v>6000.0</v>
      </c>
      <c r="I109" s="137">
        <v>6000.0</v>
      </c>
      <c r="J109" s="137">
        <v>6000.0</v>
      </c>
      <c r="K109" s="137">
        <v>6000.0</v>
      </c>
      <c r="L109" s="137">
        <v>6000.0</v>
      </c>
      <c r="M109" s="137">
        <v>6000.0</v>
      </c>
      <c r="N109" s="137">
        <v>6000.0</v>
      </c>
      <c r="O109" s="137">
        <v>6000.0</v>
      </c>
      <c r="P109" s="126"/>
      <c r="Q109" s="126"/>
      <c r="R109" s="145">
        <f t="shared" si="3"/>
        <v>42</v>
      </c>
      <c r="S109" s="193" t="s">
        <v>91</v>
      </c>
      <c r="T109" s="148">
        <v>5000.0</v>
      </c>
      <c r="U109" s="126"/>
    </row>
    <row r="110" ht="24.75" customHeight="1">
      <c r="A110" s="134">
        <f t="shared" si="2"/>
        <v>43</v>
      </c>
      <c r="B110" s="134" t="s">
        <v>138</v>
      </c>
      <c r="C110" s="135">
        <v>1000.0</v>
      </c>
      <c r="D110" s="137">
        <v>1000.0</v>
      </c>
      <c r="E110" s="137">
        <v>1000.0</v>
      </c>
      <c r="F110" s="138">
        <v>1000.0</v>
      </c>
      <c r="G110" s="137">
        <v>1000.0</v>
      </c>
      <c r="H110" s="137">
        <v>1000.0</v>
      </c>
      <c r="I110" s="137">
        <v>1000.0</v>
      </c>
      <c r="J110" s="137">
        <v>1000.0</v>
      </c>
      <c r="K110" s="137">
        <v>1000.0</v>
      </c>
      <c r="L110" s="137">
        <v>1000.0</v>
      </c>
      <c r="M110" s="137">
        <v>1000.0</v>
      </c>
      <c r="N110" s="137">
        <v>1000.0</v>
      </c>
      <c r="O110" s="137">
        <v>1000.0</v>
      </c>
      <c r="P110" s="126"/>
      <c r="Q110" s="126"/>
      <c r="R110" s="145">
        <f t="shared" si="3"/>
        <v>43</v>
      </c>
      <c r="S110" s="193" t="s">
        <v>94</v>
      </c>
      <c r="T110" s="195">
        <v>10000.0</v>
      </c>
      <c r="U110" s="126"/>
    </row>
    <row r="111" ht="24.75" customHeight="1">
      <c r="A111" s="134">
        <f t="shared" si="2"/>
        <v>44</v>
      </c>
      <c r="B111" s="137" t="s">
        <v>139</v>
      </c>
      <c r="C111" s="135">
        <v>3000.0</v>
      </c>
      <c r="D111" s="137">
        <v>3000.0</v>
      </c>
      <c r="E111" s="137">
        <v>3000.0</v>
      </c>
      <c r="F111" s="138">
        <v>3000.0</v>
      </c>
      <c r="G111" s="137">
        <v>3000.0</v>
      </c>
      <c r="H111" s="137">
        <v>3000.0</v>
      </c>
      <c r="I111" s="137">
        <v>3000.0</v>
      </c>
      <c r="J111" s="137">
        <v>3000.0</v>
      </c>
      <c r="K111" s="137">
        <v>3000.0</v>
      </c>
      <c r="L111" s="137">
        <v>3000.0</v>
      </c>
      <c r="M111" s="137">
        <v>3000.0</v>
      </c>
      <c r="N111" s="137">
        <v>3000.0</v>
      </c>
      <c r="O111" s="137">
        <v>3000.0</v>
      </c>
      <c r="P111" s="126"/>
      <c r="Q111" s="126"/>
      <c r="R111" s="145">
        <f t="shared" si="3"/>
        <v>44</v>
      </c>
      <c r="S111" s="193" t="s">
        <v>97</v>
      </c>
      <c r="T111" s="195">
        <v>10000.0</v>
      </c>
      <c r="U111" s="126"/>
    </row>
    <row r="112" ht="24.75" customHeight="1">
      <c r="A112" s="134">
        <f t="shared" si="2"/>
        <v>45</v>
      </c>
      <c r="B112" s="137" t="s">
        <v>275</v>
      </c>
      <c r="C112" s="143">
        <v>3000.0</v>
      </c>
      <c r="D112" s="137">
        <v>3000.0</v>
      </c>
      <c r="E112" s="137">
        <v>3000.0</v>
      </c>
      <c r="F112" s="138">
        <v>3000.0</v>
      </c>
      <c r="G112" s="137">
        <v>3000.0</v>
      </c>
      <c r="H112" s="137">
        <v>3000.0</v>
      </c>
      <c r="I112" s="137">
        <v>3000.0</v>
      </c>
      <c r="J112" s="137">
        <v>3000.0</v>
      </c>
      <c r="K112" s="137">
        <v>3000.0</v>
      </c>
      <c r="L112" s="137">
        <v>3000.0</v>
      </c>
      <c r="M112" s="137">
        <v>3000.0</v>
      </c>
      <c r="N112" s="137">
        <v>3000.0</v>
      </c>
      <c r="O112" s="137">
        <v>3000.0</v>
      </c>
      <c r="P112" s="126"/>
      <c r="Q112" s="126"/>
      <c r="R112" s="145">
        <f t="shared" si="3"/>
        <v>45</v>
      </c>
      <c r="S112" s="193" t="s">
        <v>99</v>
      </c>
      <c r="T112" s="195">
        <v>3000.0</v>
      </c>
      <c r="U112" s="126"/>
    </row>
    <row r="113" ht="24.75" customHeight="1">
      <c r="A113" s="134">
        <f t="shared" si="2"/>
        <v>46</v>
      </c>
      <c r="B113" s="134" t="s">
        <v>157</v>
      </c>
      <c r="C113" s="143">
        <v>10000.0</v>
      </c>
      <c r="D113" s="137" t="s">
        <v>203</v>
      </c>
      <c r="E113" s="137" t="s">
        <v>203</v>
      </c>
      <c r="F113" s="137" t="s">
        <v>203</v>
      </c>
      <c r="G113" s="137" t="s">
        <v>203</v>
      </c>
      <c r="H113" s="137" t="s">
        <v>203</v>
      </c>
      <c r="I113" s="137" t="s">
        <v>203</v>
      </c>
      <c r="J113" s="134"/>
      <c r="K113" s="134"/>
      <c r="L113" s="134"/>
      <c r="M113" s="134"/>
      <c r="N113" s="134"/>
      <c r="O113" s="134"/>
      <c r="P113" s="126"/>
      <c r="Q113" s="126"/>
      <c r="R113" s="145">
        <f t="shared" si="3"/>
        <v>46</v>
      </c>
      <c r="S113" s="193" t="s">
        <v>102</v>
      </c>
      <c r="T113" s="148">
        <v>5000.0</v>
      </c>
      <c r="U113" s="126"/>
    </row>
    <row r="114" ht="24.75" customHeight="1">
      <c r="A114" s="134">
        <f t="shared" si="2"/>
        <v>47</v>
      </c>
      <c r="B114" s="134" t="s">
        <v>142</v>
      </c>
      <c r="C114" s="135">
        <v>2000.0</v>
      </c>
      <c r="D114" s="137" t="s">
        <v>203</v>
      </c>
      <c r="E114" s="137" t="s">
        <v>203</v>
      </c>
      <c r="F114" s="137" t="s">
        <v>203</v>
      </c>
      <c r="G114" s="137" t="s">
        <v>203</v>
      </c>
      <c r="H114" s="137" t="s">
        <v>203</v>
      </c>
      <c r="I114" s="137" t="s">
        <v>203</v>
      </c>
      <c r="J114" s="134"/>
      <c r="K114" s="134"/>
      <c r="L114" s="134"/>
      <c r="M114" s="134"/>
      <c r="N114" s="134"/>
      <c r="O114" s="134"/>
      <c r="P114" s="126"/>
      <c r="Q114" s="126"/>
      <c r="R114" s="145">
        <f t="shared" si="3"/>
        <v>47</v>
      </c>
      <c r="S114" s="193" t="s">
        <v>108</v>
      </c>
      <c r="T114" s="195">
        <v>3000.0</v>
      </c>
      <c r="U114" s="126"/>
    </row>
    <row r="115" ht="24.75" customHeight="1">
      <c r="A115" s="134">
        <f t="shared" si="2"/>
        <v>48</v>
      </c>
      <c r="B115" s="134" t="s">
        <v>144</v>
      </c>
      <c r="C115" s="135">
        <v>2000.0</v>
      </c>
      <c r="D115" s="137" t="s">
        <v>203</v>
      </c>
      <c r="E115" s="137" t="s">
        <v>203</v>
      </c>
      <c r="F115" s="137" t="s">
        <v>203</v>
      </c>
      <c r="G115" s="137">
        <v>2000.0</v>
      </c>
      <c r="H115" s="137">
        <v>2000.0</v>
      </c>
      <c r="I115" s="137">
        <v>2000.0</v>
      </c>
      <c r="J115" s="137">
        <v>2000.0</v>
      </c>
      <c r="K115" s="137">
        <v>2000.0</v>
      </c>
      <c r="L115" s="137">
        <v>2000.0</v>
      </c>
      <c r="M115" s="137">
        <v>2000.0</v>
      </c>
      <c r="N115" s="137">
        <v>2000.0</v>
      </c>
      <c r="O115" s="137">
        <v>2000.0</v>
      </c>
      <c r="P115" s="126"/>
      <c r="Q115" s="126"/>
      <c r="R115" s="145">
        <f t="shared" si="3"/>
        <v>48</v>
      </c>
      <c r="S115" s="193" t="s">
        <v>111</v>
      </c>
      <c r="T115" s="195">
        <v>3000.0</v>
      </c>
      <c r="U115" s="126"/>
    </row>
    <row r="116" ht="24.75" customHeight="1">
      <c r="A116" s="134">
        <f t="shared" si="2"/>
        <v>49</v>
      </c>
      <c r="B116" s="134" t="s">
        <v>146</v>
      </c>
      <c r="C116" s="135">
        <v>2000.0</v>
      </c>
      <c r="D116" s="137" t="s">
        <v>203</v>
      </c>
      <c r="E116" s="137" t="s">
        <v>203</v>
      </c>
      <c r="F116" s="137" t="s">
        <v>203</v>
      </c>
      <c r="G116" s="137" t="s">
        <v>203</v>
      </c>
      <c r="H116" s="137" t="s">
        <v>203</v>
      </c>
      <c r="I116" s="137" t="s">
        <v>203</v>
      </c>
      <c r="J116" s="134"/>
      <c r="K116" s="134"/>
      <c r="L116" s="134"/>
      <c r="M116" s="134"/>
      <c r="N116" s="134"/>
      <c r="O116" s="134"/>
      <c r="P116" s="126"/>
      <c r="Q116" s="126"/>
      <c r="R116" s="145">
        <f t="shared" si="3"/>
        <v>49</v>
      </c>
      <c r="S116" s="193" t="s">
        <v>114</v>
      </c>
      <c r="T116" s="195">
        <v>3000.0</v>
      </c>
      <c r="U116" s="126"/>
    </row>
    <row r="117" ht="24.75" customHeight="1">
      <c r="A117" s="134">
        <f t="shared" si="2"/>
        <v>50</v>
      </c>
      <c r="B117" s="134" t="s">
        <v>149</v>
      </c>
      <c r="C117" s="135">
        <v>2000.0</v>
      </c>
      <c r="D117" s="137">
        <v>2000.0</v>
      </c>
      <c r="E117" s="137">
        <v>2000.0</v>
      </c>
      <c r="F117" s="138">
        <v>2000.0</v>
      </c>
      <c r="G117" s="137">
        <v>2000.0</v>
      </c>
      <c r="H117" s="137">
        <v>2000.0</v>
      </c>
      <c r="I117" s="137">
        <v>2000.0</v>
      </c>
      <c r="J117" s="137">
        <v>2000.0</v>
      </c>
      <c r="K117" s="137">
        <v>2000.0</v>
      </c>
      <c r="L117" s="137">
        <v>2000.0</v>
      </c>
      <c r="M117" s="137">
        <v>2000.0</v>
      </c>
      <c r="N117" s="137">
        <v>2000.0</v>
      </c>
      <c r="O117" s="137">
        <v>2000.0</v>
      </c>
      <c r="P117" s="126"/>
      <c r="Q117" s="126"/>
      <c r="R117" s="145">
        <f t="shared" si="3"/>
        <v>50</v>
      </c>
      <c r="S117" s="193" t="s">
        <v>115</v>
      </c>
      <c r="T117" s="195">
        <v>3000.0</v>
      </c>
      <c r="U117" s="126"/>
    </row>
    <row r="118" ht="24.75" customHeight="1">
      <c r="A118" s="134">
        <f t="shared" si="2"/>
        <v>51</v>
      </c>
      <c r="B118" s="134" t="s">
        <v>153</v>
      </c>
      <c r="C118" s="135">
        <v>2000.0</v>
      </c>
      <c r="D118" s="137">
        <v>2000.0</v>
      </c>
      <c r="E118" s="137">
        <v>2000.0</v>
      </c>
      <c r="F118" s="138">
        <v>2000.0</v>
      </c>
      <c r="G118" s="137">
        <v>2000.0</v>
      </c>
      <c r="H118" s="137">
        <v>2000.0</v>
      </c>
      <c r="I118" s="137">
        <v>2000.0</v>
      </c>
      <c r="J118" s="137">
        <v>2000.0</v>
      </c>
      <c r="K118" s="137">
        <v>2000.0</v>
      </c>
      <c r="L118" s="137">
        <v>2000.0</v>
      </c>
      <c r="M118" s="137">
        <v>2000.0</v>
      </c>
      <c r="N118" s="137">
        <v>2000.0</v>
      </c>
      <c r="O118" s="137">
        <v>2000.0</v>
      </c>
      <c r="P118" s="126"/>
      <c r="Q118" s="126"/>
      <c r="R118" s="145">
        <f t="shared" si="3"/>
        <v>51</v>
      </c>
      <c r="S118" s="193" t="s">
        <v>118</v>
      </c>
      <c r="T118" s="195">
        <v>3000.0</v>
      </c>
      <c r="U118" s="126"/>
    </row>
    <row r="119" ht="24.75" customHeight="1">
      <c r="A119" s="134">
        <f t="shared" si="2"/>
        <v>52</v>
      </c>
      <c r="B119" s="134" t="s">
        <v>154</v>
      </c>
      <c r="C119" s="135">
        <v>2000.0</v>
      </c>
      <c r="D119" s="137">
        <v>2000.0</v>
      </c>
      <c r="E119" s="137">
        <v>2000.0</v>
      </c>
      <c r="F119" s="138">
        <v>2000.0</v>
      </c>
      <c r="G119" s="137">
        <v>2000.0</v>
      </c>
      <c r="H119" s="137">
        <v>2000.0</v>
      </c>
      <c r="I119" s="137">
        <v>2000.0</v>
      </c>
      <c r="J119" s="137">
        <v>2000.0</v>
      </c>
      <c r="K119" s="137">
        <v>2000.0</v>
      </c>
      <c r="L119" s="137">
        <v>2000.0</v>
      </c>
      <c r="M119" s="137">
        <v>2000.0</v>
      </c>
      <c r="N119" s="137">
        <v>2000.0</v>
      </c>
      <c r="O119" s="137">
        <v>2000.0</v>
      </c>
      <c r="P119" s="126"/>
      <c r="Q119" s="126"/>
      <c r="R119" s="145">
        <f t="shared" si="3"/>
        <v>52</v>
      </c>
      <c r="S119" s="193" t="s">
        <v>122</v>
      </c>
      <c r="T119" s="195">
        <v>7000.0</v>
      </c>
      <c r="U119" s="126"/>
    </row>
    <row r="120" ht="24.75" customHeight="1">
      <c r="A120" s="134">
        <f t="shared" si="2"/>
        <v>53</v>
      </c>
      <c r="B120" s="134" t="s">
        <v>156</v>
      </c>
      <c r="C120" s="143">
        <v>2000.0</v>
      </c>
      <c r="D120" s="137" t="s">
        <v>203</v>
      </c>
      <c r="E120" s="137" t="s">
        <v>203</v>
      </c>
      <c r="F120" s="137" t="s">
        <v>203</v>
      </c>
      <c r="G120" s="137" t="s">
        <v>203</v>
      </c>
      <c r="H120" s="137" t="s">
        <v>203</v>
      </c>
      <c r="I120" s="137" t="s">
        <v>203</v>
      </c>
      <c r="J120" s="134"/>
      <c r="K120" s="134"/>
      <c r="L120" s="134"/>
      <c r="M120" s="134"/>
      <c r="N120" s="134"/>
      <c r="O120" s="134"/>
      <c r="P120" s="126"/>
      <c r="Q120" s="126"/>
      <c r="R120" s="145">
        <f t="shared" si="3"/>
        <v>53</v>
      </c>
      <c r="S120" s="193" t="s">
        <v>123</v>
      </c>
      <c r="T120" s="195">
        <v>3000.0</v>
      </c>
      <c r="U120" s="126"/>
    </row>
    <row r="121" ht="24.75" customHeight="1">
      <c r="A121" s="134">
        <f t="shared" si="2"/>
        <v>54</v>
      </c>
      <c r="B121" s="134" t="s">
        <v>158</v>
      </c>
      <c r="C121" s="135">
        <v>3000.0</v>
      </c>
      <c r="D121" s="137" t="s">
        <v>203</v>
      </c>
      <c r="E121" s="137" t="s">
        <v>203</v>
      </c>
      <c r="F121" s="137" t="s">
        <v>203</v>
      </c>
      <c r="G121" s="137" t="s">
        <v>203</v>
      </c>
      <c r="H121" s="137" t="s">
        <v>203</v>
      </c>
      <c r="I121" s="137" t="s">
        <v>203</v>
      </c>
      <c r="J121" s="134"/>
      <c r="K121" s="134"/>
      <c r="L121" s="134"/>
      <c r="M121" s="134"/>
      <c r="N121" s="134"/>
      <c r="O121" s="134"/>
      <c r="P121" s="126"/>
      <c r="Q121" s="126"/>
      <c r="R121" s="145">
        <f t="shared" si="3"/>
        <v>54</v>
      </c>
      <c r="S121" s="193" t="s">
        <v>124</v>
      </c>
      <c r="T121" s="195">
        <v>3000.0</v>
      </c>
      <c r="U121" s="126"/>
    </row>
    <row r="122" ht="24.75" customHeight="1">
      <c r="A122" s="134">
        <f t="shared" si="2"/>
        <v>55</v>
      </c>
      <c r="B122" s="137" t="s">
        <v>166</v>
      </c>
      <c r="C122" s="143">
        <v>2000.0</v>
      </c>
      <c r="D122" s="137">
        <v>2000.0</v>
      </c>
      <c r="E122" s="137">
        <v>2000.0</v>
      </c>
      <c r="F122" s="138">
        <v>2000.0</v>
      </c>
      <c r="G122" s="137">
        <v>2000.0</v>
      </c>
      <c r="H122" s="137">
        <v>2000.0</v>
      </c>
      <c r="I122" s="137">
        <v>2000.0</v>
      </c>
      <c r="J122" s="137">
        <v>2000.0</v>
      </c>
      <c r="K122" s="137">
        <v>2000.0</v>
      </c>
      <c r="L122" s="137">
        <v>2000.0</v>
      </c>
      <c r="M122" s="137">
        <v>2000.0</v>
      </c>
      <c r="N122" s="137">
        <v>2000.0</v>
      </c>
      <c r="O122" s="137">
        <v>2000.0</v>
      </c>
      <c r="P122" s="126"/>
      <c r="Q122" s="126"/>
      <c r="R122" s="145">
        <f t="shared" si="3"/>
        <v>55</v>
      </c>
      <c r="S122" s="193" t="s">
        <v>125</v>
      </c>
      <c r="T122" s="195">
        <v>3000.0</v>
      </c>
      <c r="U122" s="126"/>
    </row>
    <row r="123" ht="24.75" customHeight="1">
      <c r="A123" s="134">
        <f t="shared" si="2"/>
        <v>56</v>
      </c>
      <c r="B123" s="137" t="s">
        <v>167</v>
      </c>
      <c r="C123" s="143">
        <v>2000.0</v>
      </c>
      <c r="D123" s="137">
        <v>2000.0</v>
      </c>
      <c r="E123" s="137">
        <v>2000.0</v>
      </c>
      <c r="F123" s="138">
        <v>2000.0</v>
      </c>
      <c r="G123" s="137">
        <v>2000.0</v>
      </c>
      <c r="H123" s="137">
        <v>2000.0</v>
      </c>
      <c r="I123" s="137">
        <v>2000.0</v>
      </c>
      <c r="J123" s="137">
        <v>2000.0</v>
      </c>
      <c r="K123" s="137">
        <v>2000.0</v>
      </c>
      <c r="L123" s="137">
        <v>2000.0</v>
      </c>
      <c r="M123" s="137">
        <v>2000.0</v>
      </c>
      <c r="N123" s="137">
        <v>2000.0</v>
      </c>
      <c r="O123" s="137">
        <v>2000.0</v>
      </c>
      <c r="P123" s="126"/>
      <c r="Q123" s="126"/>
      <c r="R123" s="145">
        <f t="shared" si="3"/>
        <v>56</v>
      </c>
      <c r="S123" s="193" t="s">
        <v>126</v>
      </c>
      <c r="T123" s="195">
        <v>3000.0</v>
      </c>
      <c r="U123" s="126"/>
    </row>
    <row r="124" ht="24.75" customHeight="1">
      <c r="A124" s="134">
        <f t="shared" si="2"/>
        <v>57</v>
      </c>
      <c r="B124" s="137" t="s">
        <v>170</v>
      </c>
      <c r="C124" s="143">
        <v>10000.0</v>
      </c>
      <c r="D124" s="137">
        <v>10000.0</v>
      </c>
      <c r="E124" s="137" t="s">
        <v>203</v>
      </c>
      <c r="F124" s="137" t="s">
        <v>203</v>
      </c>
      <c r="G124" s="137" t="s">
        <v>203</v>
      </c>
      <c r="H124" s="137" t="s">
        <v>203</v>
      </c>
      <c r="I124" s="137" t="s">
        <v>203</v>
      </c>
      <c r="J124" s="134"/>
      <c r="K124" s="134"/>
      <c r="L124" s="134"/>
      <c r="M124" s="134"/>
      <c r="N124" s="137"/>
      <c r="O124" s="137"/>
      <c r="P124" s="126"/>
      <c r="Q124" s="126"/>
      <c r="R124" s="145">
        <f t="shared" si="3"/>
        <v>57</v>
      </c>
      <c r="S124" s="193" t="s">
        <v>128</v>
      </c>
      <c r="T124" s="195">
        <v>3000.0</v>
      </c>
      <c r="U124" s="126"/>
    </row>
    <row r="125" ht="24.75" customHeight="1">
      <c r="A125" s="134">
        <f t="shared" si="2"/>
        <v>58</v>
      </c>
      <c r="B125" s="137" t="s">
        <v>162</v>
      </c>
      <c r="C125" s="143">
        <v>10000.0</v>
      </c>
      <c r="D125" s="137" t="s">
        <v>203</v>
      </c>
      <c r="E125" s="137" t="s">
        <v>203</v>
      </c>
      <c r="F125" s="137" t="s">
        <v>203</v>
      </c>
      <c r="G125" s="137" t="s">
        <v>203</v>
      </c>
      <c r="H125" s="137" t="s">
        <v>203</v>
      </c>
      <c r="I125" s="137" t="s">
        <v>203</v>
      </c>
      <c r="J125" s="134"/>
      <c r="K125" s="134"/>
      <c r="L125" s="134"/>
      <c r="M125" s="134"/>
      <c r="N125" s="134"/>
      <c r="O125" s="134"/>
      <c r="P125" s="126"/>
      <c r="Q125" s="126"/>
      <c r="R125" s="145">
        <f t="shared" si="3"/>
        <v>58</v>
      </c>
      <c r="S125" s="193" t="s">
        <v>129</v>
      </c>
      <c r="T125" s="195">
        <v>3000.0</v>
      </c>
      <c r="U125" s="126"/>
    </row>
    <row r="126" ht="24.75" customHeight="1">
      <c r="A126" s="134">
        <f t="shared" si="2"/>
        <v>59</v>
      </c>
      <c r="B126" s="137" t="s">
        <v>307</v>
      </c>
      <c r="C126" s="143">
        <v>10000.0</v>
      </c>
      <c r="D126" s="137" t="s">
        <v>203</v>
      </c>
      <c r="E126" s="137" t="s">
        <v>203</v>
      </c>
      <c r="F126" s="137" t="s">
        <v>203</v>
      </c>
      <c r="G126" s="137" t="s">
        <v>203</v>
      </c>
      <c r="H126" s="137" t="s">
        <v>203</v>
      </c>
      <c r="I126" s="137" t="s">
        <v>203</v>
      </c>
      <c r="J126" s="134"/>
      <c r="K126" s="134"/>
      <c r="L126" s="134"/>
      <c r="M126" s="134"/>
      <c r="N126" s="134"/>
      <c r="O126" s="134"/>
      <c r="P126" s="126"/>
      <c r="Q126" s="126"/>
      <c r="R126" s="145">
        <f t="shared" si="3"/>
        <v>59</v>
      </c>
      <c r="S126" s="193" t="s">
        <v>130</v>
      </c>
      <c r="T126" s="195">
        <v>3000.0</v>
      </c>
      <c r="U126" s="126"/>
    </row>
    <row r="127" ht="24.75" customHeight="1">
      <c r="A127" s="134">
        <f t="shared" si="2"/>
        <v>60</v>
      </c>
      <c r="B127" s="137" t="s">
        <v>311</v>
      </c>
      <c r="C127" s="143">
        <v>3000.0</v>
      </c>
      <c r="D127" s="137" t="s">
        <v>203</v>
      </c>
      <c r="E127" s="137" t="s">
        <v>203</v>
      </c>
      <c r="F127" s="137" t="s">
        <v>203</v>
      </c>
      <c r="G127" s="137">
        <v>3000.0</v>
      </c>
      <c r="H127" s="137">
        <v>3000.0</v>
      </c>
      <c r="I127" s="137">
        <v>3000.0</v>
      </c>
      <c r="J127" s="137">
        <v>3000.0</v>
      </c>
      <c r="K127" s="137">
        <v>3000.0</v>
      </c>
      <c r="L127" s="137">
        <v>3000.0</v>
      </c>
      <c r="M127" s="137">
        <v>3000.0</v>
      </c>
      <c r="N127" s="137">
        <v>3000.0</v>
      </c>
      <c r="O127" s="137">
        <v>3000.0</v>
      </c>
      <c r="P127" s="126"/>
      <c r="Q127" s="126"/>
      <c r="R127" s="145">
        <f t="shared" si="3"/>
        <v>60</v>
      </c>
      <c r="S127" s="193" t="s">
        <v>131</v>
      </c>
      <c r="T127" s="195">
        <v>3000.0</v>
      </c>
      <c r="U127" s="126"/>
    </row>
    <row r="128" ht="24.75" customHeight="1">
      <c r="A128" s="134">
        <f t="shared" si="2"/>
        <v>61</v>
      </c>
      <c r="B128" s="137" t="s">
        <v>317</v>
      </c>
      <c r="C128" s="143">
        <v>15000.0</v>
      </c>
      <c r="D128" s="137" t="s">
        <v>203</v>
      </c>
      <c r="E128" s="137" t="s">
        <v>203</v>
      </c>
      <c r="F128" s="137" t="s">
        <v>203</v>
      </c>
      <c r="G128" s="137">
        <v>15000.0</v>
      </c>
      <c r="H128" s="137">
        <v>15000.0</v>
      </c>
      <c r="I128" s="137">
        <v>15000.0</v>
      </c>
      <c r="J128" s="137">
        <v>15000.0</v>
      </c>
      <c r="K128" s="137">
        <v>15000.0</v>
      </c>
      <c r="L128" s="137">
        <v>15000.0</v>
      </c>
      <c r="M128" s="137">
        <v>15000.0</v>
      </c>
      <c r="N128" s="137">
        <v>15000.0</v>
      </c>
      <c r="O128" s="137">
        <v>15000.0</v>
      </c>
      <c r="P128" s="126"/>
      <c r="Q128" s="126"/>
      <c r="R128" s="145">
        <f t="shared" si="3"/>
        <v>61</v>
      </c>
      <c r="S128" s="193" t="s">
        <v>133</v>
      </c>
      <c r="T128" s="195">
        <v>3000.0</v>
      </c>
      <c r="U128" s="126"/>
    </row>
    <row r="129" ht="24.75" customHeight="1">
      <c r="A129" s="134">
        <f t="shared" si="2"/>
        <v>62</v>
      </c>
      <c r="B129" s="137" t="s">
        <v>320</v>
      </c>
      <c r="C129" s="143">
        <v>2000.0</v>
      </c>
      <c r="D129" s="137" t="s">
        <v>203</v>
      </c>
      <c r="E129" s="137" t="s">
        <v>203</v>
      </c>
      <c r="F129" s="137" t="s">
        <v>203</v>
      </c>
      <c r="G129" s="137">
        <v>2000.0</v>
      </c>
      <c r="H129" s="137">
        <v>2000.0</v>
      </c>
      <c r="I129" s="137">
        <v>2000.0</v>
      </c>
      <c r="J129" s="137">
        <v>2000.0</v>
      </c>
      <c r="K129" s="137">
        <v>2000.0</v>
      </c>
      <c r="L129" s="137">
        <v>2000.0</v>
      </c>
      <c r="M129" s="137">
        <v>2000.0</v>
      </c>
      <c r="N129" s="137">
        <v>2000.0</v>
      </c>
      <c r="O129" s="137">
        <v>2000.0</v>
      </c>
      <c r="P129" s="126"/>
      <c r="Q129" s="126"/>
      <c r="R129" s="145">
        <f t="shared" si="3"/>
        <v>62</v>
      </c>
      <c r="S129" s="178" t="s">
        <v>324</v>
      </c>
      <c r="T129" s="195">
        <v>3000.0</v>
      </c>
      <c r="U129" s="126"/>
    </row>
    <row r="130" ht="24.75" customHeight="1">
      <c r="A130" s="134">
        <f t="shared" si="2"/>
        <v>63</v>
      </c>
      <c r="B130" s="137" t="s">
        <v>330</v>
      </c>
      <c r="C130" s="143">
        <v>2000.0</v>
      </c>
      <c r="D130" s="137" t="s">
        <v>203</v>
      </c>
      <c r="E130" s="137" t="s">
        <v>203</v>
      </c>
      <c r="F130" s="137" t="s">
        <v>203</v>
      </c>
      <c r="G130" s="137">
        <v>2000.0</v>
      </c>
      <c r="H130" s="137">
        <v>2000.0</v>
      </c>
      <c r="I130" s="137">
        <v>2000.0</v>
      </c>
      <c r="J130" s="137">
        <v>2000.0</v>
      </c>
      <c r="K130" s="137">
        <v>2000.0</v>
      </c>
      <c r="L130" s="137">
        <v>2000.0</v>
      </c>
      <c r="M130" s="137">
        <v>2000.0</v>
      </c>
      <c r="N130" s="137">
        <v>2000.0</v>
      </c>
      <c r="O130" s="137">
        <v>2000.0</v>
      </c>
      <c r="P130" s="126"/>
      <c r="Q130" s="126"/>
      <c r="R130" s="145">
        <f t="shared" si="3"/>
        <v>63</v>
      </c>
      <c r="S130" s="193" t="s">
        <v>135</v>
      </c>
      <c r="T130" s="195">
        <v>3000.0</v>
      </c>
      <c r="U130" s="126"/>
    </row>
    <row r="131" ht="24.75" customHeight="1">
      <c r="A131" s="134">
        <f t="shared" si="2"/>
        <v>64</v>
      </c>
      <c r="B131" s="137" t="s">
        <v>340</v>
      </c>
      <c r="C131" s="143">
        <v>2000.0</v>
      </c>
      <c r="D131" s="137" t="s">
        <v>203</v>
      </c>
      <c r="E131" s="137" t="s">
        <v>203</v>
      </c>
      <c r="F131" s="137" t="s">
        <v>203</v>
      </c>
      <c r="G131" s="137">
        <v>2000.0</v>
      </c>
      <c r="H131" s="137">
        <v>2000.0</v>
      </c>
      <c r="I131" s="137">
        <v>2000.0</v>
      </c>
      <c r="J131" s="137">
        <v>2000.0</v>
      </c>
      <c r="K131" s="137">
        <v>2000.0</v>
      </c>
      <c r="L131" s="137">
        <v>2000.0</v>
      </c>
      <c r="M131" s="137">
        <v>2000.0</v>
      </c>
      <c r="N131" s="137">
        <v>2000.0</v>
      </c>
      <c r="O131" s="137">
        <v>2000.0</v>
      </c>
      <c r="P131" s="126"/>
      <c r="Q131" s="126"/>
      <c r="R131" s="145">
        <f t="shared" si="3"/>
        <v>64</v>
      </c>
      <c r="S131" s="193" t="s">
        <v>137</v>
      </c>
      <c r="T131" s="195">
        <v>6000.0</v>
      </c>
      <c r="U131" s="126"/>
    </row>
    <row r="132" ht="24.75" customHeight="1">
      <c r="A132" s="134">
        <f t="shared" si="2"/>
        <v>65</v>
      </c>
      <c r="B132" s="137" t="s">
        <v>349</v>
      </c>
      <c r="C132" s="143">
        <v>2000.0</v>
      </c>
      <c r="D132" s="137" t="s">
        <v>203</v>
      </c>
      <c r="E132" s="137" t="s">
        <v>203</v>
      </c>
      <c r="F132" s="137" t="s">
        <v>203</v>
      </c>
      <c r="G132" s="137">
        <v>2000.0</v>
      </c>
      <c r="H132" s="137">
        <v>2000.0</v>
      </c>
      <c r="I132" s="137">
        <v>2000.0</v>
      </c>
      <c r="J132" s="137">
        <v>2000.0</v>
      </c>
      <c r="K132" s="137">
        <v>2000.0</v>
      </c>
      <c r="L132" s="137">
        <v>2000.0</v>
      </c>
      <c r="M132" s="137">
        <v>2000.0</v>
      </c>
      <c r="N132" s="137">
        <v>2000.0</v>
      </c>
      <c r="O132" s="137">
        <v>2000.0</v>
      </c>
      <c r="P132" s="126"/>
      <c r="Q132" s="126"/>
      <c r="R132" s="145">
        <f t="shared" si="3"/>
        <v>65</v>
      </c>
      <c r="S132" s="193" t="s">
        <v>138</v>
      </c>
      <c r="T132" s="195">
        <v>1000.0</v>
      </c>
      <c r="U132" s="126"/>
    </row>
    <row r="133" ht="24.75" customHeight="1">
      <c r="A133" s="134">
        <f t="shared" si="2"/>
        <v>66</v>
      </c>
      <c r="B133" s="137"/>
      <c r="C133" s="143"/>
      <c r="D133" s="137"/>
      <c r="E133" s="134"/>
      <c r="F133" s="134"/>
      <c r="G133" s="134"/>
      <c r="H133" s="134"/>
      <c r="I133" s="134"/>
      <c r="J133" s="137"/>
      <c r="K133" s="134"/>
      <c r="L133" s="134"/>
      <c r="M133" s="134"/>
      <c r="N133" s="134"/>
      <c r="O133" s="134"/>
      <c r="P133" s="126"/>
      <c r="Q133" s="126"/>
      <c r="R133" s="145">
        <f t="shared" si="3"/>
        <v>66</v>
      </c>
      <c r="S133" s="178" t="s">
        <v>363</v>
      </c>
      <c r="T133" s="195">
        <v>3000.0</v>
      </c>
      <c r="U133" s="126"/>
    </row>
    <row r="134" ht="24.75" customHeight="1">
      <c r="A134" s="134">
        <f t="shared" si="2"/>
        <v>67</v>
      </c>
      <c r="B134" s="134"/>
      <c r="C134" s="135"/>
      <c r="D134" s="137"/>
      <c r="E134" s="134"/>
      <c r="F134" s="134"/>
      <c r="G134" s="134"/>
      <c r="H134" s="134"/>
      <c r="I134" s="134"/>
      <c r="J134" s="134"/>
      <c r="K134" s="134"/>
      <c r="L134" s="134"/>
      <c r="M134" s="134"/>
      <c r="N134" s="137"/>
      <c r="O134" s="134"/>
      <c r="P134" s="126"/>
      <c r="Q134" s="126"/>
      <c r="R134" s="145">
        <f t="shared" si="3"/>
        <v>67</v>
      </c>
      <c r="S134" s="193" t="s">
        <v>140</v>
      </c>
      <c r="T134" s="195">
        <v>3000.0</v>
      </c>
      <c r="U134" s="126"/>
    </row>
    <row r="135" ht="24.75" customHeight="1">
      <c r="A135" s="134"/>
      <c r="B135" s="134"/>
      <c r="C135" s="135"/>
      <c r="D135" s="137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26"/>
      <c r="Q135" s="126"/>
      <c r="R135" s="145">
        <f t="shared" si="3"/>
        <v>68</v>
      </c>
      <c r="S135" s="193" t="s">
        <v>141</v>
      </c>
      <c r="T135" s="195">
        <v>5000.0</v>
      </c>
      <c r="U135" s="126"/>
    </row>
    <row r="136" ht="24.75" customHeight="1">
      <c r="A136" s="134"/>
      <c r="B136" s="134"/>
      <c r="C136" s="135"/>
      <c r="D136" s="137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26"/>
      <c r="Q136" s="126"/>
      <c r="R136" s="145">
        <f t="shared" si="3"/>
        <v>69</v>
      </c>
      <c r="S136" s="193" t="s">
        <v>157</v>
      </c>
      <c r="T136" s="148">
        <v>10000.0</v>
      </c>
      <c r="U136" s="126"/>
    </row>
    <row r="137" ht="24.75" customHeight="1">
      <c r="A137" s="134"/>
      <c r="B137" s="134"/>
      <c r="C137" s="135"/>
      <c r="D137" s="137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26"/>
      <c r="Q137" s="126"/>
      <c r="R137" s="145">
        <f t="shared" si="3"/>
        <v>70</v>
      </c>
      <c r="S137" s="193" t="s">
        <v>142</v>
      </c>
      <c r="T137" s="195">
        <v>2000.0</v>
      </c>
      <c r="U137" s="126"/>
    </row>
    <row r="138" ht="24.75" customHeight="1">
      <c r="A138" s="134"/>
      <c r="B138" s="134"/>
      <c r="C138" s="135"/>
      <c r="D138" s="137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26"/>
      <c r="Q138" s="126"/>
      <c r="R138" s="145">
        <f t="shared" si="3"/>
        <v>71</v>
      </c>
      <c r="S138" s="193" t="s">
        <v>144</v>
      </c>
      <c r="T138" s="195">
        <v>2000.0</v>
      </c>
      <c r="U138" s="126"/>
    </row>
    <row r="139" ht="24.75" customHeight="1">
      <c r="A139" s="134"/>
      <c r="B139" s="134"/>
      <c r="C139" s="135">
        <f t="shared" ref="C139:O139" si="5">SUM(C68:C138)</f>
        <v>348000</v>
      </c>
      <c r="D139" s="134">
        <f t="shared" si="5"/>
        <v>240000</v>
      </c>
      <c r="E139" s="134">
        <f t="shared" si="5"/>
        <v>230000</v>
      </c>
      <c r="F139" s="134">
        <f t="shared" si="5"/>
        <v>230000</v>
      </c>
      <c r="G139" s="134">
        <f t="shared" si="5"/>
        <v>278000</v>
      </c>
      <c r="H139" s="134">
        <f t="shared" si="5"/>
        <v>278000</v>
      </c>
      <c r="I139" s="134">
        <f t="shared" si="5"/>
        <v>278000</v>
      </c>
      <c r="J139" s="134">
        <f t="shared" si="5"/>
        <v>278000</v>
      </c>
      <c r="K139" s="134">
        <f t="shared" si="5"/>
        <v>278000</v>
      </c>
      <c r="L139" s="134">
        <f t="shared" si="5"/>
        <v>278000</v>
      </c>
      <c r="M139" s="134">
        <f t="shared" si="5"/>
        <v>278000</v>
      </c>
      <c r="N139" s="134">
        <f t="shared" si="5"/>
        <v>278000</v>
      </c>
      <c r="O139" s="134">
        <f t="shared" si="5"/>
        <v>278000</v>
      </c>
      <c r="P139" s="126"/>
      <c r="Q139" s="126"/>
      <c r="R139" s="145">
        <f t="shared" si="3"/>
        <v>72</v>
      </c>
      <c r="S139" s="193" t="s">
        <v>146</v>
      </c>
      <c r="T139" s="195">
        <v>2000.0</v>
      </c>
      <c r="U139" s="126"/>
    </row>
    <row r="140" ht="24.75" customHeight="1">
      <c r="A140" s="126"/>
      <c r="B140" s="126"/>
      <c r="C140" s="243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45">
        <f t="shared" si="3"/>
        <v>73</v>
      </c>
      <c r="S140" s="193" t="s">
        <v>149</v>
      </c>
      <c r="T140" s="195">
        <v>2000.0</v>
      </c>
      <c r="U140" s="126"/>
    </row>
    <row r="141" ht="24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45">
        <f t="shared" si="3"/>
        <v>74</v>
      </c>
      <c r="S141" s="193" t="s">
        <v>153</v>
      </c>
      <c r="T141" s="195">
        <v>2000.0</v>
      </c>
      <c r="U141" s="126"/>
    </row>
    <row r="142" ht="24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45">
        <f t="shared" si="3"/>
        <v>75</v>
      </c>
      <c r="S142" s="193" t="s">
        <v>154</v>
      </c>
      <c r="T142" s="195">
        <v>2000.0</v>
      </c>
      <c r="U142" s="126"/>
    </row>
    <row r="143" ht="24.75" customHeight="1">
      <c r="A143" s="126"/>
      <c r="B143" s="248"/>
      <c r="C143" s="248"/>
      <c r="D143" s="248" t="s">
        <v>423</v>
      </c>
      <c r="E143" s="248">
        <v>10000.0</v>
      </c>
      <c r="F143" s="248" t="s">
        <v>425</v>
      </c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45">
        <f t="shared" si="3"/>
        <v>76</v>
      </c>
      <c r="S143" s="193" t="s">
        <v>156</v>
      </c>
      <c r="T143" s="148">
        <v>2000.0</v>
      </c>
      <c r="U143" s="126"/>
    </row>
    <row r="144" ht="24.75" customHeight="1">
      <c r="A144" s="126"/>
      <c r="B144" s="248"/>
      <c r="C144" s="248"/>
      <c r="D144" s="248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45">
        <f t="shared" si="3"/>
        <v>77</v>
      </c>
      <c r="S144" s="193" t="s">
        <v>158</v>
      </c>
      <c r="T144" s="195">
        <v>3000.0</v>
      </c>
      <c r="U144" s="126"/>
    </row>
    <row r="145" ht="24.75" customHeight="1">
      <c r="A145" s="126"/>
      <c r="B145" s="248"/>
      <c r="C145" s="248"/>
      <c r="D145" s="248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45">
        <f t="shared" si="3"/>
        <v>78</v>
      </c>
      <c r="S145" s="178" t="s">
        <v>161</v>
      </c>
      <c r="T145" s="148">
        <v>10000.0</v>
      </c>
      <c r="U145" s="126"/>
    </row>
    <row r="146" ht="24.75" customHeight="1">
      <c r="A146" s="126"/>
      <c r="B146" s="248"/>
      <c r="C146" s="248"/>
      <c r="D146" s="248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45">
        <f t="shared" si="3"/>
        <v>79</v>
      </c>
      <c r="S146" s="178" t="s">
        <v>166</v>
      </c>
      <c r="T146" s="148">
        <v>2000.0</v>
      </c>
      <c r="U146" s="126"/>
    </row>
    <row r="147" ht="24.75" customHeight="1">
      <c r="A147" s="126"/>
      <c r="B147" s="248"/>
      <c r="C147" s="248"/>
      <c r="D147" s="248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45">
        <f t="shared" si="3"/>
        <v>80</v>
      </c>
      <c r="S147" s="178" t="s">
        <v>167</v>
      </c>
      <c r="T147" s="148">
        <v>2000.0</v>
      </c>
      <c r="U147" s="126"/>
    </row>
    <row r="148" ht="24.75" customHeight="1">
      <c r="A148" s="126"/>
      <c r="B148" s="248"/>
      <c r="C148" s="248"/>
      <c r="D148" s="248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45">
        <f t="shared" si="3"/>
        <v>81</v>
      </c>
      <c r="S148" s="178" t="s">
        <v>170</v>
      </c>
      <c r="T148" s="148">
        <v>10000.0</v>
      </c>
      <c r="U148" s="126"/>
    </row>
    <row r="149" ht="24.75" customHeight="1">
      <c r="A149" s="126"/>
      <c r="B149" s="248"/>
      <c r="C149" s="248"/>
      <c r="D149" s="248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45">
        <f t="shared" si="3"/>
        <v>82</v>
      </c>
      <c r="S149" s="178" t="s">
        <v>162</v>
      </c>
      <c r="T149" s="148">
        <v>10000.0</v>
      </c>
      <c r="U149" s="126"/>
    </row>
    <row r="150" ht="24.75" customHeight="1">
      <c r="A150" s="126"/>
      <c r="B150" s="248"/>
      <c r="C150" s="248"/>
      <c r="D150" s="248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45">
        <f t="shared" si="3"/>
        <v>83</v>
      </c>
      <c r="S150" s="178" t="s">
        <v>438</v>
      </c>
      <c r="T150" s="148">
        <v>2000.0</v>
      </c>
      <c r="U150" s="126"/>
    </row>
    <row r="151" ht="24.75" customHeight="1">
      <c r="A151" s="126"/>
      <c r="B151" s="248"/>
      <c r="C151" s="248"/>
      <c r="D151" s="248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45">
        <f t="shared" si="3"/>
        <v>84</v>
      </c>
      <c r="S151" s="178" t="s">
        <v>330</v>
      </c>
      <c r="T151" s="148">
        <v>2000.0</v>
      </c>
      <c r="U151" s="126"/>
    </row>
    <row r="152" ht="24.75" customHeight="1">
      <c r="A152" s="126"/>
      <c r="B152" s="248"/>
      <c r="C152" s="248"/>
      <c r="D152" s="248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45">
        <f t="shared" si="3"/>
        <v>85</v>
      </c>
      <c r="S152" s="178" t="s">
        <v>443</v>
      </c>
      <c r="T152" s="148">
        <v>2000.0</v>
      </c>
      <c r="U152" s="126"/>
    </row>
    <row r="153" ht="24.75" customHeight="1">
      <c r="A153" s="126"/>
      <c r="B153" s="248"/>
      <c r="C153" s="248"/>
      <c r="D153" s="248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250"/>
      <c r="S153" s="193"/>
      <c r="T153" s="251"/>
      <c r="U153" s="126"/>
    </row>
    <row r="154" ht="24.75" customHeight="1">
      <c r="A154" s="126"/>
      <c r="B154" s="248"/>
      <c r="C154" s="248"/>
      <c r="D154" s="248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252"/>
      <c r="S154" s="253" t="s">
        <v>447</v>
      </c>
      <c r="T154" s="254">
        <f>SUM(T68:T153)</f>
        <v>444500</v>
      </c>
      <c r="U154" s="126"/>
    </row>
    <row r="155" ht="24.75" customHeight="1">
      <c r="A155" s="126"/>
      <c r="B155" s="248"/>
      <c r="C155" s="248"/>
      <c r="D155" s="248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U155" s="126"/>
    </row>
    <row r="156" ht="29.25" customHeight="1"/>
    <row r="157" ht="29.25" customHeight="1">
      <c r="A157" s="122"/>
      <c r="B157" s="122"/>
      <c r="C157" s="122"/>
      <c r="D157" s="122"/>
      <c r="E157" s="122"/>
      <c r="F157" s="122"/>
      <c r="G157" s="122"/>
      <c r="H157" s="255" t="s">
        <v>454</v>
      </c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29.25" customHeight="1"/>
    <row r="159" ht="29.25" customHeight="1"/>
    <row r="160" ht="29.25" customHeight="1">
      <c r="A160" s="131" t="s">
        <v>0</v>
      </c>
      <c r="B160" s="131" t="s">
        <v>3</v>
      </c>
      <c r="C160" s="132" t="s">
        <v>185</v>
      </c>
      <c r="D160" s="132" t="s">
        <v>13</v>
      </c>
      <c r="E160" s="132" t="s">
        <v>15</v>
      </c>
      <c r="F160" s="132" t="s">
        <v>16</v>
      </c>
    </row>
    <row r="161" ht="29.25" customHeight="1">
      <c r="A161" s="134">
        <v>1.0</v>
      </c>
      <c r="B161" s="134" t="s">
        <v>7</v>
      </c>
      <c r="C161" s="256">
        <v>15000.0</v>
      </c>
      <c r="D161" s="141">
        <v>15000.0</v>
      </c>
      <c r="E161" s="257"/>
      <c r="F161" s="12"/>
    </row>
    <row r="162" ht="29.25" customHeight="1">
      <c r="A162" s="134">
        <f t="shared" ref="A162:A170" si="6">A161+1</f>
        <v>2</v>
      </c>
      <c r="B162" s="137" t="s">
        <v>201</v>
      </c>
      <c r="C162" s="258">
        <v>10000.0</v>
      </c>
      <c r="D162" s="141">
        <v>10000.0</v>
      </c>
      <c r="E162" s="257"/>
      <c r="F162" s="12"/>
    </row>
    <row r="163" ht="29.25" customHeight="1">
      <c r="A163" s="134">
        <f t="shared" si="6"/>
        <v>3</v>
      </c>
      <c r="B163" s="137" t="s">
        <v>464</v>
      </c>
      <c r="C163" s="256">
        <v>3000.0</v>
      </c>
      <c r="D163" s="141">
        <v>3000.0</v>
      </c>
      <c r="E163" s="257"/>
      <c r="F163" s="12"/>
    </row>
    <row r="164" ht="29.25" customHeight="1">
      <c r="A164" s="134">
        <f t="shared" si="6"/>
        <v>4</v>
      </c>
      <c r="B164" s="134" t="s">
        <v>31</v>
      </c>
      <c r="C164" s="258">
        <v>6000.0</v>
      </c>
      <c r="D164" s="141">
        <v>6000.0</v>
      </c>
      <c r="E164" s="257"/>
      <c r="F164" s="12"/>
    </row>
    <row r="165" ht="29.25" customHeight="1">
      <c r="A165" s="134">
        <f t="shared" si="6"/>
        <v>5</v>
      </c>
      <c r="B165" s="134" t="s">
        <v>27</v>
      </c>
      <c r="C165" s="258">
        <v>3000.0</v>
      </c>
      <c r="D165" s="141">
        <v>3000.0</v>
      </c>
      <c r="E165" s="257"/>
      <c r="F165" s="12"/>
    </row>
    <row r="166" ht="29.25" customHeight="1">
      <c r="A166" s="134">
        <f t="shared" si="6"/>
        <v>6</v>
      </c>
      <c r="B166" s="137" t="s">
        <v>170</v>
      </c>
      <c r="C166" s="258">
        <v>10000.0</v>
      </c>
      <c r="D166" s="141">
        <v>10000.0</v>
      </c>
      <c r="E166" s="257"/>
      <c r="F166" s="12"/>
    </row>
    <row r="167" ht="29.25" customHeight="1">
      <c r="A167" s="134">
        <f t="shared" si="6"/>
        <v>7</v>
      </c>
      <c r="B167" s="137" t="s">
        <v>470</v>
      </c>
      <c r="C167" s="258">
        <v>10000.0</v>
      </c>
      <c r="D167" s="141">
        <v>10000.0</v>
      </c>
      <c r="E167" s="257"/>
      <c r="F167" s="12"/>
    </row>
    <row r="168" ht="28.5" customHeight="1">
      <c r="A168" s="134">
        <f t="shared" si="6"/>
        <v>8</v>
      </c>
      <c r="B168" s="134" t="s">
        <v>40</v>
      </c>
      <c r="C168" s="256">
        <v>10000.0</v>
      </c>
      <c r="D168" s="141">
        <v>10000.0</v>
      </c>
      <c r="E168" s="257"/>
      <c r="F168" s="12"/>
    </row>
    <row r="169" ht="28.5" customHeight="1">
      <c r="A169" s="134">
        <f t="shared" si="6"/>
        <v>9</v>
      </c>
      <c r="B169" s="134" t="s">
        <v>102</v>
      </c>
      <c r="C169" s="258">
        <v>5000.0</v>
      </c>
      <c r="D169" s="141">
        <v>5000.0</v>
      </c>
      <c r="E169" s="257"/>
      <c r="F169" s="12"/>
    </row>
    <row r="170" ht="28.5" customHeight="1">
      <c r="A170" s="134">
        <f t="shared" si="6"/>
        <v>10</v>
      </c>
      <c r="B170" s="137" t="s">
        <v>232</v>
      </c>
      <c r="C170" s="256">
        <v>10000.0</v>
      </c>
      <c r="D170" s="141">
        <v>10000.0</v>
      </c>
      <c r="E170" s="257"/>
      <c r="F170" s="12"/>
    </row>
    <row r="171" ht="28.5" customHeight="1">
      <c r="A171" s="134">
        <f>A174+1</f>
        <v>16</v>
      </c>
      <c r="B171" s="137" t="s">
        <v>477</v>
      </c>
      <c r="C171" s="258">
        <v>10000.0</v>
      </c>
      <c r="D171" s="141">
        <v>10000.0</v>
      </c>
      <c r="E171" s="257"/>
      <c r="F171" s="12"/>
    </row>
    <row r="172" ht="28.5" customHeight="1">
      <c r="A172" s="134">
        <f>A173+1</f>
        <v>19</v>
      </c>
      <c r="B172" s="134" t="s">
        <v>76</v>
      </c>
      <c r="C172" s="256">
        <v>10000.0</v>
      </c>
      <c r="D172" s="141">
        <v>10000.0</v>
      </c>
      <c r="E172" s="257"/>
      <c r="F172" s="12"/>
    </row>
    <row r="173" ht="28.5" customHeight="1">
      <c r="A173" s="134">
        <f>A197+1</f>
        <v>18</v>
      </c>
      <c r="B173" s="134" t="s">
        <v>73</v>
      </c>
      <c r="C173" s="256">
        <v>10000.0</v>
      </c>
      <c r="D173" s="141">
        <v>10000.0</v>
      </c>
      <c r="E173" s="257"/>
      <c r="F173" s="12"/>
    </row>
    <row r="174" ht="28.5" customHeight="1">
      <c r="A174" s="134">
        <f>A175+1</f>
        <v>15</v>
      </c>
      <c r="B174" s="137" t="s">
        <v>246</v>
      </c>
      <c r="C174" s="256">
        <v>10000.0</v>
      </c>
      <c r="D174" s="141">
        <v>10000.0</v>
      </c>
      <c r="E174" s="257"/>
      <c r="F174" s="12"/>
    </row>
    <row r="175" ht="28.5" customHeight="1">
      <c r="A175" s="134">
        <f>A196+1</f>
        <v>14</v>
      </c>
      <c r="B175" s="134" t="s">
        <v>63</v>
      </c>
      <c r="C175" s="256">
        <v>10000.0</v>
      </c>
      <c r="D175" s="141">
        <v>10000.0</v>
      </c>
      <c r="E175" s="257"/>
      <c r="F175" s="12"/>
    </row>
    <row r="176" ht="28.5" customHeight="1">
      <c r="A176" s="134">
        <f>A199+1</f>
        <v>22</v>
      </c>
      <c r="B176" s="134" t="s">
        <v>94</v>
      </c>
      <c r="C176" s="256">
        <v>10000.0</v>
      </c>
      <c r="D176" s="141">
        <v>10000.0</v>
      </c>
      <c r="E176" s="257"/>
      <c r="F176" s="12"/>
    </row>
    <row r="177" ht="28.5" customHeight="1">
      <c r="A177" s="134">
        <f>A176+1</f>
        <v>23</v>
      </c>
      <c r="B177" s="134" t="s">
        <v>97</v>
      </c>
      <c r="C177" s="256">
        <v>10000.0</v>
      </c>
      <c r="D177" s="141">
        <v>10000.0</v>
      </c>
      <c r="E177" s="257"/>
      <c r="F177" s="12"/>
    </row>
    <row r="178" ht="28.5" customHeight="1">
      <c r="A178" s="134">
        <f t="shared" ref="A178:A179" si="7">A202+1</f>
        <v>27</v>
      </c>
      <c r="B178" s="134" t="s">
        <v>114</v>
      </c>
      <c r="C178" s="258">
        <v>5000.0</v>
      </c>
      <c r="D178" s="141">
        <v>5000.0</v>
      </c>
      <c r="E178" s="257"/>
      <c r="F178" s="12"/>
    </row>
    <row r="179" ht="28.5" customHeight="1">
      <c r="A179" s="134">
        <f t="shared" si="7"/>
        <v>29</v>
      </c>
      <c r="B179" s="134" t="s">
        <v>118</v>
      </c>
      <c r="C179" s="256">
        <v>3000.0</v>
      </c>
      <c r="D179" s="141">
        <v>3000.0</v>
      </c>
      <c r="E179" s="257"/>
      <c r="F179" s="12"/>
    </row>
    <row r="180" ht="28.5" customHeight="1">
      <c r="A180" s="134">
        <f t="shared" ref="A180:A183" si="8">A179+1</f>
        <v>30</v>
      </c>
      <c r="B180" s="134" t="s">
        <v>122</v>
      </c>
      <c r="C180" s="256">
        <v>7000.0</v>
      </c>
      <c r="D180" s="141">
        <v>7000.0</v>
      </c>
      <c r="E180" s="257"/>
      <c r="F180" s="12"/>
    </row>
    <row r="181" ht="28.5" customHeight="1">
      <c r="A181" s="134">
        <f t="shared" si="8"/>
        <v>31</v>
      </c>
      <c r="B181" s="137" t="s">
        <v>490</v>
      </c>
      <c r="C181" s="256">
        <v>3000.0</v>
      </c>
      <c r="D181" s="141">
        <v>3000.0</v>
      </c>
      <c r="E181" s="257"/>
      <c r="F181" s="12"/>
    </row>
    <row r="182" ht="28.5" customHeight="1">
      <c r="A182" s="134">
        <f t="shared" si="8"/>
        <v>32</v>
      </c>
      <c r="B182" s="137" t="s">
        <v>491</v>
      </c>
      <c r="C182" s="256">
        <v>3000.0</v>
      </c>
      <c r="D182" s="141">
        <v>3000.0</v>
      </c>
      <c r="E182" s="257"/>
      <c r="F182" s="12"/>
    </row>
    <row r="183" ht="28.5" customHeight="1">
      <c r="A183" s="134">
        <f t="shared" si="8"/>
        <v>33</v>
      </c>
      <c r="B183" s="134" t="s">
        <v>125</v>
      </c>
      <c r="C183" s="256">
        <v>3000.0</v>
      </c>
      <c r="D183" s="141">
        <v>3000.0</v>
      </c>
      <c r="E183" s="257"/>
      <c r="F183" s="12"/>
    </row>
    <row r="184" ht="28.5" customHeight="1">
      <c r="A184" s="134">
        <f>A185+1</f>
        <v>35</v>
      </c>
      <c r="B184" s="134" t="s">
        <v>128</v>
      </c>
      <c r="C184" s="258">
        <v>4000.0</v>
      </c>
      <c r="D184" s="141">
        <v>4000.0</v>
      </c>
      <c r="E184" s="257"/>
      <c r="F184" s="12"/>
    </row>
    <row r="185" ht="28.5" customHeight="1">
      <c r="A185" s="134">
        <f>A183+1</f>
        <v>34</v>
      </c>
      <c r="B185" s="134" t="s">
        <v>126</v>
      </c>
      <c r="C185" s="258">
        <v>4000.0</v>
      </c>
      <c r="D185" s="141">
        <v>4000.0</v>
      </c>
      <c r="E185" s="257"/>
      <c r="F185" s="12"/>
    </row>
    <row r="186" ht="28.5" customHeight="1">
      <c r="A186" s="134">
        <f>A206+1</f>
        <v>39</v>
      </c>
      <c r="B186" s="134" t="s">
        <v>133</v>
      </c>
      <c r="C186" s="256">
        <v>3000.0</v>
      </c>
      <c r="D186" s="141">
        <v>3000.0</v>
      </c>
      <c r="E186" s="257"/>
      <c r="F186" s="12"/>
    </row>
    <row r="187" ht="28.5" customHeight="1">
      <c r="A187" s="134">
        <f>A191+1</f>
        <v>41</v>
      </c>
      <c r="B187" s="134" t="s">
        <v>135</v>
      </c>
      <c r="C187" s="256">
        <v>3000.0</v>
      </c>
      <c r="D187" s="141">
        <v>3000.0</v>
      </c>
      <c r="E187" s="257"/>
      <c r="F187" s="12"/>
    </row>
    <row r="188" ht="28.5" customHeight="1">
      <c r="A188" s="134">
        <f>A189+1</f>
        <v>43</v>
      </c>
      <c r="B188" s="134" t="s">
        <v>138</v>
      </c>
      <c r="C188" s="256">
        <v>1000.0</v>
      </c>
      <c r="D188" s="141">
        <v>1000.0</v>
      </c>
      <c r="E188" s="257"/>
      <c r="F188" s="12"/>
    </row>
    <row r="189" ht="28.5" customHeight="1">
      <c r="A189" s="134">
        <f t="shared" ref="A189:A190" si="9">A187+1</f>
        <v>42</v>
      </c>
      <c r="B189" s="134" t="s">
        <v>137</v>
      </c>
      <c r="C189" s="256">
        <v>6000.0</v>
      </c>
      <c r="D189" s="141">
        <v>6000.0</v>
      </c>
      <c r="E189" s="257"/>
      <c r="F189" s="12"/>
    </row>
    <row r="190" ht="28.5" customHeight="1">
      <c r="A190" s="134">
        <f t="shared" si="9"/>
        <v>44</v>
      </c>
      <c r="B190" s="137" t="s">
        <v>139</v>
      </c>
      <c r="C190" s="256">
        <v>3000.0</v>
      </c>
      <c r="D190" s="141">
        <v>3000.0</v>
      </c>
      <c r="E190" s="257"/>
      <c r="F190" s="12"/>
    </row>
    <row r="191" ht="28.5" customHeight="1">
      <c r="A191" s="134">
        <f>A186+1</f>
        <v>40</v>
      </c>
      <c r="B191" s="137" t="s">
        <v>134</v>
      </c>
      <c r="C191" s="256">
        <v>3000.0</v>
      </c>
      <c r="D191" s="141">
        <v>3000.0</v>
      </c>
      <c r="E191" s="257"/>
      <c r="F191" s="12"/>
    </row>
    <row r="192" ht="27.0" customHeight="1">
      <c r="A192" s="134">
        <f>A221+1</f>
        <v>61</v>
      </c>
      <c r="B192" s="137" t="s">
        <v>317</v>
      </c>
      <c r="C192" s="258">
        <v>15000.0</v>
      </c>
      <c r="D192" s="141">
        <v>15000.0</v>
      </c>
      <c r="E192" s="257"/>
      <c r="F192" s="12"/>
    </row>
    <row r="193" ht="28.5" customHeight="1">
      <c r="A193" s="134">
        <f>A190+1</f>
        <v>45</v>
      </c>
      <c r="B193" s="137" t="s">
        <v>425</v>
      </c>
      <c r="C193" s="258">
        <v>20000.0</v>
      </c>
      <c r="D193" s="141">
        <v>20000.0</v>
      </c>
      <c r="E193" s="257"/>
      <c r="F193" s="12"/>
    </row>
    <row r="194" ht="28.5" customHeight="1">
      <c r="A194" s="134">
        <f>A170+1</f>
        <v>11</v>
      </c>
      <c r="B194" s="137" t="s">
        <v>237</v>
      </c>
      <c r="C194" s="256">
        <v>3000.0</v>
      </c>
      <c r="D194" s="257"/>
      <c r="E194" s="257"/>
      <c r="F194" s="12"/>
    </row>
    <row r="195" ht="28.5" customHeight="1">
      <c r="A195" s="134">
        <f t="shared" ref="A195:A196" si="10">A194+1</f>
        <v>12</v>
      </c>
      <c r="B195" s="134" t="s">
        <v>53</v>
      </c>
      <c r="C195" s="256">
        <v>3000.0</v>
      </c>
      <c r="D195" s="257"/>
      <c r="E195" s="257"/>
      <c r="F195" s="12"/>
    </row>
    <row r="196" ht="28.5" customHeight="1">
      <c r="A196" s="134">
        <f t="shared" si="10"/>
        <v>13</v>
      </c>
      <c r="B196" s="134" t="s">
        <v>56</v>
      </c>
      <c r="C196" s="256">
        <v>3000.0</v>
      </c>
      <c r="D196" s="257"/>
      <c r="E196" s="257"/>
      <c r="F196" s="12"/>
    </row>
    <row r="197" ht="28.5" customHeight="1">
      <c r="A197" s="134">
        <f t="shared" ref="A197:A198" si="11">A171+1</f>
        <v>17</v>
      </c>
      <c r="B197" s="134" t="s">
        <v>69</v>
      </c>
      <c r="C197" s="256">
        <v>10000.0</v>
      </c>
      <c r="D197" s="257"/>
      <c r="E197" s="257"/>
      <c r="F197" s="12"/>
    </row>
    <row r="198" ht="28.5" customHeight="1">
      <c r="A198" s="134">
        <f t="shared" si="11"/>
        <v>20</v>
      </c>
      <c r="B198" s="134" t="s">
        <v>81</v>
      </c>
      <c r="C198" s="258">
        <v>10000.0</v>
      </c>
      <c r="D198" s="257"/>
      <c r="E198" s="257"/>
      <c r="F198" s="12"/>
    </row>
    <row r="199" ht="28.5" customHeight="1">
      <c r="A199" s="134">
        <f>A198+1</f>
        <v>21</v>
      </c>
      <c r="B199" s="134" t="s">
        <v>91</v>
      </c>
      <c r="C199" s="258">
        <v>5000.0</v>
      </c>
      <c r="D199" s="257"/>
      <c r="E199" s="257"/>
      <c r="F199" s="12"/>
    </row>
    <row r="200" ht="28.5" customHeight="1">
      <c r="A200" s="134">
        <f>A177+1</f>
        <v>24</v>
      </c>
      <c r="B200" s="134" t="s">
        <v>99</v>
      </c>
      <c r="C200" s="256">
        <v>3000.0</v>
      </c>
      <c r="D200" s="257"/>
      <c r="E200" s="257"/>
      <c r="F200" s="12"/>
    </row>
    <row r="201" ht="28.5" customHeight="1">
      <c r="A201" s="134">
        <f t="shared" ref="A201:A202" si="12">A200+1</f>
        <v>25</v>
      </c>
      <c r="B201" s="134" t="s">
        <v>108</v>
      </c>
      <c r="C201" s="256">
        <v>3000.0</v>
      </c>
      <c r="D201" s="257"/>
      <c r="E201" s="257"/>
      <c r="F201" s="12"/>
    </row>
    <row r="202" ht="28.5" customHeight="1">
      <c r="A202" s="134">
        <f t="shared" si="12"/>
        <v>26</v>
      </c>
      <c r="B202" s="134" t="s">
        <v>111</v>
      </c>
      <c r="C202" s="256">
        <v>3000.0</v>
      </c>
      <c r="D202" s="257"/>
      <c r="E202" s="257"/>
      <c r="F202" s="12"/>
    </row>
    <row r="203" ht="28.5" customHeight="1">
      <c r="A203" s="134">
        <f>A178+1</f>
        <v>28</v>
      </c>
      <c r="B203" s="134" t="s">
        <v>115</v>
      </c>
      <c r="C203" s="256">
        <v>3000.0</v>
      </c>
      <c r="D203" s="257"/>
      <c r="E203" s="257"/>
      <c r="F203" s="12"/>
    </row>
    <row r="204" ht="28.5" customHeight="1">
      <c r="A204" s="134">
        <f>A184+1</f>
        <v>36</v>
      </c>
      <c r="B204" s="134" t="s">
        <v>129</v>
      </c>
      <c r="C204" s="256">
        <v>3000.0</v>
      </c>
      <c r="D204" s="257"/>
      <c r="E204" s="257"/>
      <c r="F204" s="12"/>
    </row>
    <row r="205" ht="28.5" customHeight="1">
      <c r="A205" s="134">
        <f t="shared" ref="A205:A206" si="13">A204+1</f>
        <v>37</v>
      </c>
      <c r="B205" s="134" t="s">
        <v>130</v>
      </c>
      <c r="C205" s="256">
        <v>3000.0</v>
      </c>
      <c r="D205" s="257"/>
      <c r="E205" s="257"/>
      <c r="F205" s="12"/>
    </row>
    <row r="206" ht="28.5" customHeight="1">
      <c r="A206" s="134">
        <f t="shared" si="13"/>
        <v>38</v>
      </c>
      <c r="B206" s="134" t="s">
        <v>131</v>
      </c>
      <c r="C206" s="256">
        <v>3000.0</v>
      </c>
      <c r="D206" s="257"/>
      <c r="E206" s="257"/>
      <c r="F206" s="12"/>
    </row>
    <row r="207" ht="28.5" customHeight="1">
      <c r="A207" s="134">
        <f>A193+1</f>
        <v>46</v>
      </c>
      <c r="B207" s="134" t="s">
        <v>157</v>
      </c>
      <c r="C207" s="258">
        <v>10000.0</v>
      </c>
      <c r="D207" s="257"/>
      <c r="E207" s="257"/>
      <c r="F207" s="12"/>
    </row>
    <row r="208" ht="28.5" customHeight="1">
      <c r="A208" s="134">
        <f t="shared" ref="A208:A221" si="14">A207+1</f>
        <v>47</v>
      </c>
      <c r="B208" s="134" t="s">
        <v>142</v>
      </c>
      <c r="C208" s="256">
        <v>2000.0</v>
      </c>
      <c r="D208" s="257"/>
      <c r="E208" s="257"/>
      <c r="F208" s="12"/>
    </row>
    <row r="209" ht="28.5" customHeight="1">
      <c r="A209" s="134">
        <f t="shared" si="14"/>
        <v>48</v>
      </c>
      <c r="B209" s="134" t="s">
        <v>144</v>
      </c>
      <c r="C209" s="256">
        <v>2000.0</v>
      </c>
      <c r="D209" s="257"/>
      <c r="E209" s="257"/>
      <c r="F209" s="12"/>
    </row>
    <row r="210" ht="28.5" customHeight="1">
      <c r="A210" s="134">
        <f t="shared" si="14"/>
        <v>49</v>
      </c>
      <c r="B210" s="134" t="s">
        <v>146</v>
      </c>
      <c r="C210" s="256">
        <v>2000.0</v>
      </c>
      <c r="D210" s="257"/>
      <c r="E210" s="257"/>
      <c r="F210" s="12"/>
    </row>
    <row r="211" ht="28.5" customHeight="1">
      <c r="A211" s="134">
        <f t="shared" si="14"/>
        <v>50</v>
      </c>
      <c r="B211" s="134" t="s">
        <v>149</v>
      </c>
      <c r="C211" s="256">
        <v>2000.0</v>
      </c>
      <c r="D211" s="257"/>
      <c r="E211" s="257"/>
      <c r="F211" s="12"/>
    </row>
    <row r="212" ht="28.5" customHeight="1">
      <c r="A212" s="134">
        <f t="shared" si="14"/>
        <v>51</v>
      </c>
      <c r="B212" s="134" t="s">
        <v>153</v>
      </c>
      <c r="C212" s="256">
        <v>2000.0</v>
      </c>
      <c r="D212" s="257"/>
      <c r="E212" s="257"/>
      <c r="F212" s="12"/>
    </row>
    <row r="213" ht="28.5" customHeight="1">
      <c r="A213" s="134">
        <f t="shared" si="14"/>
        <v>52</v>
      </c>
      <c r="B213" s="134" t="s">
        <v>154</v>
      </c>
      <c r="C213" s="256">
        <v>2000.0</v>
      </c>
      <c r="D213" s="257"/>
      <c r="E213" s="257"/>
      <c r="F213" s="12"/>
    </row>
    <row r="214" ht="27.0" customHeight="1">
      <c r="A214" s="134">
        <f t="shared" si="14"/>
        <v>53</v>
      </c>
      <c r="B214" s="134" t="s">
        <v>156</v>
      </c>
      <c r="C214" s="258">
        <v>2000.0</v>
      </c>
      <c r="D214" s="257"/>
      <c r="E214" s="257"/>
      <c r="F214" s="12"/>
    </row>
    <row r="215" ht="27.0" customHeight="1">
      <c r="A215" s="134">
        <f t="shared" si="14"/>
        <v>54</v>
      </c>
      <c r="B215" s="134" t="s">
        <v>158</v>
      </c>
      <c r="C215" s="256">
        <v>3000.0</v>
      </c>
      <c r="D215" s="257"/>
      <c r="E215" s="257"/>
      <c r="F215" s="12"/>
    </row>
    <row r="216" ht="27.0" customHeight="1">
      <c r="A216" s="134">
        <f t="shared" si="14"/>
        <v>55</v>
      </c>
      <c r="B216" s="137" t="s">
        <v>166</v>
      </c>
      <c r="C216" s="258">
        <v>2000.0</v>
      </c>
      <c r="D216" s="257"/>
      <c r="E216" s="257"/>
      <c r="F216" s="12"/>
    </row>
    <row r="217" ht="27.0" customHeight="1">
      <c r="A217" s="134">
        <f t="shared" si="14"/>
        <v>56</v>
      </c>
      <c r="B217" s="137" t="s">
        <v>167</v>
      </c>
      <c r="C217" s="258">
        <v>2000.0</v>
      </c>
      <c r="D217" s="257"/>
      <c r="E217" s="257"/>
      <c r="F217" s="12"/>
    </row>
    <row r="218" ht="27.0" customHeight="1">
      <c r="A218" s="134">
        <f t="shared" si="14"/>
        <v>57</v>
      </c>
      <c r="B218" s="137" t="s">
        <v>170</v>
      </c>
      <c r="C218" s="258">
        <v>10000.0</v>
      </c>
      <c r="D218" s="257"/>
      <c r="E218" s="257"/>
      <c r="F218" s="12"/>
    </row>
    <row r="219" ht="27.0" customHeight="1">
      <c r="A219" s="134">
        <f t="shared" si="14"/>
        <v>58</v>
      </c>
      <c r="B219" s="137" t="s">
        <v>162</v>
      </c>
      <c r="C219" s="258">
        <v>10000.0</v>
      </c>
      <c r="D219" s="257"/>
      <c r="E219" s="257"/>
      <c r="F219" s="12"/>
    </row>
    <row r="220" ht="27.0" customHeight="1">
      <c r="A220" s="134">
        <f t="shared" si="14"/>
        <v>59</v>
      </c>
      <c r="B220" s="137" t="s">
        <v>307</v>
      </c>
      <c r="C220" s="258">
        <v>10000.0</v>
      </c>
      <c r="D220" s="257"/>
      <c r="E220" s="257"/>
      <c r="F220" s="12"/>
    </row>
    <row r="221" ht="27.0" customHeight="1">
      <c r="A221" s="134">
        <f t="shared" si="14"/>
        <v>60</v>
      </c>
      <c r="B221" s="137" t="s">
        <v>311</v>
      </c>
      <c r="C221" s="258">
        <v>3000.0</v>
      </c>
      <c r="D221" s="257"/>
      <c r="E221" s="257"/>
      <c r="F221" s="12"/>
    </row>
    <row r="222" ht="27.0" customHeight="1">
      <c r="A222" s="134">
        <f>A192+1</f>
        <v>62</v>
      </c>
      <c r="B222" s="137" t="s">
        <v>320</v>
      </c>
      <c r="C222" s="258">
        <v>2000.0</v>
      </c>
      <c r="D222" s="257"/>
      <c r="E222" s="257"/>
      <c r="F222" s="12"/>
    </row>
    <row r="223" ht="27.0" customHeight="1">
      <c r="A223" s="134">
        <f t="shared" ref="A223:A227" si="15">A222+1</f>
        <v>63</v>
      </c>
      <c r="B223" s="137" t="s">
        <v>330</v>
      </c>
      <c r="C223" s="258">
        <v>2000.0</v>
      </c>
      <c r="D223" s="257"/>
      <c r="E223" s="257"/>
      <c r="F223" s="12"/>
    </row>
    <row r="224" ht="27.0" customHeight="1">
      <c r="A224" s="134">
        <f t="shared" si="15"/>
        <v>64</v>
      </c>
      <c r="B224" s="137" t="s">
        <v>340</v>
      </c>
      <c r="C224" s="258">
        <v>2000.0</v>
      </c>
      <c r="D224" s="257"/>
      <c r="E224" s="257"/>
      <c r="F224" s="12"/>
    </row>
    <row r="225" ht="27.0" customHeight="1">
      <c r="A225" s="134">
        <f t="shared" si="15"/>
        <v>65</v>
      </c>
      <c r="B225" s="137" t="s">
        <v>349</v>
      </c>
      <c r="C225" s="258">
        <v>2000.0</v>
      </c>
      <c r="D225" s="257"/>
      <c r="E225" s="257"/>
      <c r="F225" s="12"/>
    </row>
    <row r="226" ht="27.0" customHeight="1">
      <c r="A226" s="134">
        <f t="shared" si="15"/>
        <v>66</v>
      </c>
      <c r="B226" s="137"/>
      <c r="C226" s="258"/>
      <c r="D226" s="257"/>
      <c r="E226" s="257"/>
      <c r="F226" s="12"/>
    </row>
    <row r="227" ht="27.0" customHeight="1">
      <c r="A227" s="134">
        <f t="shared" si="15"/>
        <v>67</v>
      </c>
      <c r="B227" s="134"/>
      <c r="C227" s="256">
        <f t="shared" ref="C227:F227" si="16">SUM(C161:C226)</f>
        <v>365000</v>
      </c>
      <c r="D227" s="256">
        <f t="shared" si="16"/>
        <v>238000</v>
      </c>
      <c r="E227" s="256">
        <f t="shared" si="16"/>
        <v>0</v>
      </c>
      <c r="F227" s="256">
        <f t="shared" si="16"/>
        <v>0</v>
      </c>
    </row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</sheetData>
  <mergeCells count="2">
    <mergeCell ref="A62:N62"/>
    <mergeCell ref="H157:L15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6.88"/>
    <col customWidth="1" min="4" max="4" width="54.75"/>
    <col customWidth="1" min="5" max="5" width="38.75"/>
    <col customWidth="1" min="6" max="6" width="18.25"/>
    <col customWidth="1" min="7" max="7" width="13.38"/>
    <col customWidth="1" min="8" max="8" width="17.13"/>
    <col customWidth="1" min="9" max="9" width="16.75"/>
    <col customWidth="1" min="10" max="10" width="16.5"/>
    <col customWidth="1" min="11" max="11" width="23.13"/>
    <col customWidth="1" min="12" max="12" width="13.38"/>
    <col customWidth="1" min="13" max="13" width="22.88"/>
    <col customWidth="1" min="14" max="14" width="13.38"/>
    <col customWidth="1" min="15" max="15" width="22.0"/>
    <col customWidth="1" min="18" max="18" width="26.88"/>
    <col customWidth="1" min="28" max="28" width="14.0"/>
    <col customWidth="1" min="30" max="30" width="17.63"/>
  </cols>
  <sheetData>
    <row r="2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B3" s="10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1.75" customHeight="1">
      <c r="B4" s="14" t="s">
        <v>6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6" t="s">
        <v>14</v>
      </c>
      <c r="I4" s="16" t="s">
        <v>15</v>
      </c>
      <c r="J4" s="16" t="s">
        <v>14</v>
      </c>
      <c r="K4" s="18" t="s">
        <v>16</v>
      </c>
      <c r="L4" s="18" t="s">
        <v>14</v>
      </c>
      <c r="M4" s="18" t="s">
        <v>17</v>
      </c>
      <c r="N4" s="18" t="s">
        <v>14</v>
      </c>
      <c r="O4" s="18" t="s">
        <v>18</v>
      </c>
      <c r="P4" s="18" t="s">
        <v>14</v>
      </c>
      <c r="Q4" s="18" t="s">
        <v>19</v>
      </c>
      <c r="R4" s="18" t="s">
        <v>14</v>
      </c>
      <c r="S4" s="18" t="s">
        <v>20</v>
      </c>
      <c r="T4" s="18" t="s">
        <v>14</v>
      </c>
      <c r="U4" s="18" t="s">
        <v>22</v>
      </c>
      <c r="V4" s="18" t="s">
        <v>14</v>
      </c>
      <c r="W4" s="18" t="s">
        <v>23</v>
      </c>
      <c r="X4" s="18" t="s">
        <v>14</v>
      </c>
      <c r="Y4" s="18" t="s">
        <v>24</v>
      </c>
      <c r="Z4" s="18" t="s">
        <v>14</v>
      </c>
      <c r="AA4" s="18" t="s">
        <v>25</v>
      </c>
      <c r="AB4" s="18" t="s">
        <v>14</v>
      </c>
      <c r="AC4" s="18" t="s">
        <v>26</v>
      </c>
      <c r="AD4" s="18" t="s">
        <v>14</v>
      </c>
      <c r="AE4" s="21"/>
      <c r="AF4" s="21"/>
    </row>
    <row r="5" ht="26.25" customHeight="1">
      <c r="A5" s="22"/>
      <c r="B5" s="24">
        <v>1.0</v>
      </c>
      <c r="C5" s="24" t="s">
        <v>28</v>
      </c>
      <c r="D5" s="24" t="s">
        <v>30</v>
      </c>
      <c r="E5" s="24">
        <v>9.629421341E9</v>
      </c>
      <c r="F5" s="27">
        <v>11000.0</v>
      </c>
      <c r="G5" s="24">
        <v>11000.0</v>
      </c>
      <c r="H5" s="29">
        <v>45776.0</v>
      </c>
      <c r="I5" s="24">
        <v>11000.0</v>
      </c>
      <c r="J5" s="29">
        <v>45800.0</v>
      </c>
      <c r="K5" s="24">
        <v>11000.0</v>
      </c>
      <c r="L5" s="29">
        <v>45834.0</v>
      </c>
      <c r="M5" s="24">
        <v>11000.0</v>
      </c>
      <c r="N5" s="29">
        <v>45867.0</v>
      </c>
      <c r="O5" s="12"/>
      <c r="P5" s="12"/>
      <c r="Q5" s="24">
        <v>11000.0</v>
      </c>
      <c r="R5" s="29">
        <v>45911.0</v>
      </c>
      <c r="S5" s="24"/>
      <c r="T5" s="29"/>
      <c r="U5" s="24"/>
      <c r="V5" s="29"/>
      <c r="W5" s="24"/>
      <c r="X5" s="29"/>
      <c r="Y5" s="24"/>
      <c r="Z5" s="29"/>
      <c r="AA5" s="29"/>
      <c r="AB5" s="29"/>
      <c r="AC5" s="29"/>
      <c r="AD5" s="29"/>
      <c r="AE5" s="32"/>
      <c r="AF5" s="32"/>
    </row>
    <row r="6" ht="34.5" customHeight="1">
      <c r="A6" s="22"/>
      <c r="B6" s="24">
        <f t="shared" ref="B6:B26" si="1">B5+1</f>
        <v>2</v>
      </c>
      <c r="C6" s="24" t="s">
        <v>49</v>
      </c>
      <c r="D6" s="24" t="s">
        <v>50</v>
      </c>
      <c r="E6" s="24" t="s">
        <v>51</v>
      </c>
      <c r="F6" s="27">
        <v>11000.0</v>
      </c>
      <c r="G6" s="24">
        <v>11000.0</v>
      </c>
      <c r="H6" s="29">
        <v>45769.0</v>
      </c>
      <c r="I6" s="24">
        <v>11000.0</v>
      </c>
      <c r="J6" s="29">
        <v>45798.0</v>
      </c>
      <c r="K6" s="24">
        <v>0.0</v>
      </c>
      <c r="L6" s="24">
        <v>0.0</v>
      </c>
      <c r="M6" s="24">
        <v>0.0</v>
      </c>
      <c r="N6" s="24">
        <v>0.0</v>
      </c>
      <c r="O6" s="24">
        <v>11000.0</v>
      </c>
      <c r="P6" s="29">
        <v>45883.0</v>
      </c>
      <c r="Q6" s="24"/>
      <c r="R6" s="29"/>
      <c r="S6" s="24"/>
      <c r="T6" s="29"/>
      <c r="U6" s="24"/>
      <c r="V6" s="29"/>
      <c r="W6" s="24"/>
      <c r="X6" s="29"/>
      <c r="Y6" s="24"/>
      <c r="Z6" s="29"/>
      <c r="AA6" s="29"/>
      <c r="AB6" s="29"/>
      <c r="AC6" s="29"/>
      <c r="AD6" s="29"/>
      <c r="AE6" s="32"/>
      <c r="AF6" s="32"/>
    </row>
    <row r="7" ht="26.25" customHeight="1">
      <c r="A7" s="22"/>
      <c r="B7" s="24">
        <f t="shared" si="1"/>
        <v>3</v>
      </c>
      <c r="C7" s="24" t="s">
        <v>54</v>
      </c>
      <c r="D7" s="24" t="s">
        <v>55</v>
      </c>
      <c r="E7" s="24">
        <v>8.608912463E9</v>
      </c>
      <c r="F7" s="27">
        <v>14000.0</v>
      </c>
      <c r="G7" s="24">
        <v>14000.0</v>
      </c>
      <c r="H7" s="29">
        <v>45771.0</v>
      </c>
      <c r="I7" s="24">
        <v>14000.0</v>
      </c>
      <c r="J7" s="29">
        <v>45800.0</v>
      </c>
      <c r="K7" s="24">
        <v>14000.0</v>
      </c>
      <c r="L7" s="29">
        <v>45827.0</v>
      </c>
      <c r="M7" s="24">
        <v>30000.0</v>
      </c>
      <c r="N7" s="29">
        <v>45860.0</v>
      </c>
      <c r="O7" s="24">
        <v>21000.0</v>
      </c>
      <c r="P7" s="29">
        <v>45888.0</v>
      </c>
      <c r="Q7" s="24">
        <v>20000.0</v>
      </c>
      <c r="R7" s="29">
        <v>45922.0</v>
      </c>
      <c r="S7" s="24"/>
      <c r="T7" s="29"/>
      <c r="U7" s="24">
        <v>20000.0</v>
      </c>
      <c r="V7" s="29">
        <v>45991.0</v>
      </c>
      <c r="W7" s="24"/>
      <c r="X7" s="29"/>
      <c r="Y7" s="24"/>
      <c r="Z7" s="29"/>
      <c r="AA7" s="29"/>
      <c r="AB7" s="29"/>
      <c r="AC7" s="29"/>
      <c r="AD7" s="29"/>
      <c r="AE7" s="32"/>
      <c r="AF7" s="32"/>
    </row>
    <row r="8" ht="26.25" customHeight="1">
      <c r="A8" s="22"/>
      <c r="B8" s="24">
        <f t="shared" si="1"/>
        <v>4</v>
      </c>
      <c r="C8" s="24" t="s">
        <v>58</v>
      </c>
      <c r="D8" s="24" t="s">
        <v>59</v>
      </c>
      <c r="E8" s="24"/>
      <c r="F8" s="27">
        <v>11000.0</v>
      </c>
      <c r="G8" s="24">
        <v>0.0</v>
      </c>
      <c r="H8" s="24">
        <v>0.0</v>
      </c>
      <c r="I8" s="24">
        <v>0.0</v>
      </c>
      <c r="J8" s="24">
        <v>0.0</v>
      </c>
      <c r="K8" s="24">
        <v>0.0</v>
      </c>
      <c r="L8" s="24">
        <v>0.0</v>
      </c>
      <c r="M8" s="24">
        <v>11000.0</v>
      </c>
      <c r="N8" s="29">
        <v>45854.0</v>
      </c>
      <c r="O8" s="24">
        <v>12000.0</v>
      </c>
      <c r="P8" s="29">
        <v>45883.0</v>
      </c>
      <c r="Q8" s="24"/>
      <c r="R8" s="29"/>
      <c r="S8" s="24">
        <v>25000.0</v>
      </c>
      <c r="T8" s="29">
        <v>45943.0</v>
      </c>
      <c r="U8" s="24"/>
      <c r="V8" s="29"/>
      <c r="W8" s="24">
        <v>10000.0</v>
      </c>
      <c r="X8" s="29">
        <v>46004.0</v>
      </c>
      <c r="Y8" s="24"/>
      <c r="Z8" s="29"/>
      <c r="AA8" s="29"/>
      <c r="AB8" s="29"/>
      <c r="AC8" s="29"/>
      <c r="AD8" s="29"/>
      <c r="AE8" s="32"/>
      <c r="AF8" s="32"/>
    </row>
    <row r="9" ht="26.25" customHeight="1">
      <c r="A9" s="22"/>
      <c r="B9" s="24">
        <f t="shared" si="1"/>
        <v>5</v>
      </c>
      <c r="C9" s="24" t="s">
        <v>28</v>
      </c>
      <c r="D9" s="24" t="s">
        <v>64</v>
      </c>
      <c r="E9" s="24">
        <v>9.786133131E9</v>
      </c>
      <c r="F9" s="27">
        <v>15000.0</v>
      </c>
      <c r="G9" s="24">
        <v>0.0</v>
      </c>
      <c r="H9" s="24">
        <v>0.0</v>
      </c>
      <c r="I9" s="24">
        <v>0.0</v>
      </c>
      <c r="J9" s="24">
        <v>0.0</v>
      </c>
      <c r="K9" s="24">
        <v>15000.0</v>
      </c>
      <c r="L9" s="29">
        <v>45834.0</v>
      </c>
      <c r="M9" s="24">
        <v>15000.0</v>
      </c>
      <c r="N9" s="29">
        <v>45867.0</v>
      </c>
      <c r="O9" s="24"/>
      <c r="P9" s="29"/>
      <c r="Q9" s="24">
        <v>15000.0</v>
      </c>
      <c r="R9" s="29">
        <v>45910.0</v>
      </c>
      <c r="S9" s="24"/>
      <c r="T9" s="29"/>
      <c r="U9" s="24">
        <v>20000.0</v>
      </c>
      <c r="V9" s="29">
        <v>45991.0</v>
      </c>
      <c r="W9" s="24">
        <v>30000.0</v>
      </c>
      <c r="X9" s="29">
        <v>46014.0</v>
      </c>
      <c r="Y9" s="24"/>
      <c r="Z9" s="29"/>
      <c r="AA9" s="24">
        <v>27000.0</v>
      </c>
      <c r="AB9" s="29">
        <v>46081.0</v>
      </c>
      <c r="AC9" s="29"/>
      <c r="AD9" s="29"/>
      <c r="AE9" s="32"/>
      <c r="AF9" s="32"/>
    </row>
    <row r="10" ht="30.0" customHeight="1">
      <c r="A10" s="22"/>
      <c r="B10" s="24">
        <f t="shared" si="1"/>
        <v>6</v>
      </c>
      <c r="C10" s="24" t="s">
        <v>67</v>
      </c>
      <c r="D10" s="24" t="s">
        <v>68</v>
      </c>
      <c r="E10" s="24">
        <v>9.89480204E9</v>
      </c>
      <c r="F10" s="27">
        <v>10000.0</v>
      </c>
      <c r="G10" s="24">
        <v>0.0</v>
      </c>
      <c r="H10" s="24">
        <v>0.0</v>
      </c>
      <c r="I10" s="24">
        <v>30000.0</v>
      </c>
      <c r="J10" s="24" t="s">
        <v>70</v>
      </c>
      <c r="K10" s="24">
        <v>0.0</v>
      </c>
      <c r="L10" s="24">
        <v>0.0</v>
      </c>
      <c r="M10" s="24">
        <v>0.0</v>
      </c>
      <c r="N10" s="24">
        <v>0.0</v>
      </c>
      <c r="O10" s="24"/>
      <c r="P10" s="24"/>
      <c r="Q10" s="24">
        <v>12000.0</v>
      </c>
      <c r="R10" s="45">
        <v>45910.0</v>
      </c>
      <c r="S10" s="24">
        <v>32000.0</v>
      </c>
      <c r="T10" s="45">
        <v>45960.0</v>
      </c>
      <c r="U10" s="24"/>
      <c r="V10" s="45"/>
      <c r="W10" s="24"/>
      <c r="X10" s="45"/>
      <c r="Y10" s="24"/>
      <c r="Z10" s="45"/>
      <c r="AA10" s="45"/>
      <c r="AB10" s="45"/>
      <c r="AC10" s="45"/>
      <c r="AD10" s="45"/>
      <c r="AE10" s="48"/>
      <c r="AF10" s="48"/>
    </row>
    <row r="11" ht="26.25" customHeight="1">
      <c r="A11" s="22"/>
      <c r="B11" s="24">
        <f t="shared" si="1"/>
        <v>7</v>
      </c>
      <c r="C11" s="24" t="s">
        <v>77</v>
      </c>
      <c r="D11" s="24" t="s">
        <v>78</v>
      </c>
      <c r="E11" s="24">
        <v>8.508919066E9</v>
      </c>
      <c r="F11" s="27">
        <v>2000.0</v>
      </c>
      <c r="G11" s="24">
        <v>2000.0</v>
      </c>
      <c r="H11" s="29">
        <v>45776.0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51"/>
      <c r="AF11" s="51"/>
    </row>
    <row r="12" ht="26.25" customHeight="1">
      <c r="A12" s="22"/>
      <c r="B12" s="24">
        <f t="shared" si="1"/>
        <v>8</v>
      </c>
      <c r="C12" s="24" t="s">
        <v>82</v>
      </c>
      <c r="D12" s="24" t="s">
        <v>83</v>
      </c>
      <c r="E12" s="53"/>
      <c r="F12" s="27">
        <v>2000.0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51"/>
      <c r="AF12" s="51"/>
    </row>
    <row r="13" ht="26.25" customHeight="1">
      <c r="A13" s="22"/>
      <c r="B13" s="24">
        <f t="shared" si="1"/>
        <v>9</v>
      </c>
      <c r="C13" s="24" t="s">
        <v>82</v>
      </c>
      <c r="D13" s="24" t="s">
        <v>86</v>
      </c>
      <c r="E13" s="24">
        <v>8.122450715E9</v>
      </c>
      <c r="F13" s="27">
        <v>2000.0</v>
      </c>
      <c r="G13" s="24">
        <v>2000.0</v>
      </c>
      <c r="H13" s="29">
        <v>45754.0</v>
      </c>
      <c r="I13" s="24">
        <v>2000.0</v>
      </c>
      <c r="J13" s="29">
        <v>45802.0</v>
      </c>
      <c r="K13" s="24">
        <v>0.0</v>
      </c>
      <c r="L13" s="24">
        <v>0.0</v>
      </c>
      <c r="M13" s="24">
        <v>0.0</v>
      </c>
      <c r="N13" s="24">
        <v>0.0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51"/>
      <c r="AF13" s="51"/>
    </row>
    <row r="14" ht="26.25" customHeight="1">
      <c r="A14" s="22"/>
      <c r="B14" s="24">
        <f t="shared" si="1"/>
        <v>10</v>
      </c>
      <c r="C14" s="24" t="s">
        <v>89</v>
      </c>
      <c r="D14" s="24" t="s">
        <v>90</v>
      </c>
      <c r="E14" s="53"/>
      <c r="F14" s="27">
        <v>5000.0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51"/>
      <c r="AF14" s="51"/>
    </row>
    <row r="15" ht="26.25" customHeight="1">
      <c r="A15" s="22"/>
      <c r="B15" s="24">
        <f t="shared" si="1"/>
        <v>11</v>
      </c>
      <c r="C15" s="24" t="s">
        <v>77</v>
      </c>
      <c r="D15" s="24" t="s">
        <v>92</v>
      </c>
      <c r="E15" s="53"/>
      <c r="F15" s="27">
        <v>5000.0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51"/>
      <c r="AF15" s="51"/>
    </row>
    <row r="16" ht="26.25" customHeight="1">
      <c r="A16" s="22"/>
      <c r="B16" s="24">
        <f t="shared" si="1"/>
        <v>12</v>
      </c>
      <c r="C16" s="24" t="s">
        <v>82</v>
      </c>
      <c r="D16" s="24" t="s">
        <v>95</v>
      </c>
      <c r="E16" s="53"/>
      <c r="F16" s="27">
        <v>5000.0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51"/>
      <c r="AF16" s="51"/>
    </row>
    <row r="17" ht="26.25" customHeight="1">
      <c r="A17" s="22"/>
      <c r="B17" s="24">
        <f t="shared" si="1"/>
        <v>13</v>
      </c>
      <c r="C17" s="24" t="s">
        <v>58</v>
      </c>
      <c r="D17" s="24" t="s">
        <v>96</v>
      </c>
      <c r="E17" s="24">
        <v>8.825633539E9</v>
      </c>
      <c r="F17" s="27">
        <v>5000.0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51"/>
      <c r="AF17" s="51"/>
    </row>
    <row r="18" ht="26.25" customHeight="1">
      <c r="A18" s="22"/>
      <c r="B18" s="24">
        <f t="shared" si="1"/>
        <v>14</v>
      </c>
      <c r="C18" s="24" t="s">
        <v>58</v>
      </c>
      <c r="D18" s="24" t="s">
        <v>98</v>
      </c>
      <c r="E18" s="24">
        <v>9.95200271E9</v>
      </c>
      <c r="F18" s="27">
        <v>5000.0</v>
      </c>
      <c r="G18" s="24">
        <v>5000.0</v>
      </c>
      <c r="H18" s="29">
        <v>45776.0</v>
      </c>
      <c r="I18" s="24">
        <v>5000.0</v>
      </c>
      <c r="J18" s="29">
        <v>45808.0</v>
      </c>
      <c r="K18" s="24">
        <v>5000.0</v>
      </c>
      <c r="L18" s="29">
        <v>45841.0</v>
      </c>
      <c r="M18" s="24">
        <v>3000.0</v>
      </c>
      <c r="N18" s="29">
        <v>45868.0</v>
      </c>
      <c r="O18" s="24">
        <v>3000.0</v>
      </c>
      <c r="P18" s="29">
        <v>45896.0</v>
      </c>
      <c r="Q18" s="24">
        <v>6000.0</v>
      </c>
      <c r="R18" s="29">
        <v>45911.0</v>
      </c>
      <c r="S18" s="24">
        <v>3000.0</v>
      </c>
      <c r="T18" s="29">
        <v>45949.0</v>
      </c>
      <c r="U18" s="24"/>
      <c r="V18" s="29"/>
      <c r="W18" s="24"/>
      <c r="X18" s="29"/>
      <c r="Y18" s="24"/>
      <c r="Z18" s="29"/>
      <c r="AA18" s="29"/>
      <c r="AB18" s="29"/>
      <c r="AC18" s="29"/>
      <c r="AD18" s="29"/>
      <c r="AE18" s="32"/>
      <c r="AF18" s="32"/>
    </row>
    <row r="19" ht="26.25" customHeight="1">
      <c r="A19" s="22"/>
      <c r="B19" s="24">
        <f t="shared" si="1"/>
        <v>15</v>
      </c>
      <c r="C19" s="24" t="s">
        <v>82</v>
      </c>
      <c r="D19" s="24" t="s">
        <v>100</v>
      </c>
      <c r="E19" s="53"/>
      <c r="F19" s="27">
        <v>5000.0</v>
      </c>
      <c r="G19" s="24">
        <v>0.0</v>
      </c>
      <c r="H19" s="24">
        <v>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4">
        <v>0.0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51"/>
      <c r="AF19" s="51"/>
    </row>
    <row r="20" ht="26.25" customHeight="1">
      <c r="A20" s="22"/>
      <c r="B20" s="24">
        <f t="shared" si="1"/>
        <v>16</v>
      </c>
      <c r="C20" s="24" t="s">
        <v>89</v>
      </c>
      <c r="D20" s="24" t="s">
        <v>103</v>
      </c>
      <c r="E20" s="24">
        <v>9.500774029E9</v>
      </c>
      <c r="F20" s="27">
        <v>5000.0</v>
      </c>
      <c r="G20" s="24">
        <v>5000.0</v>
      </c>
      <c r="H20" s="29">
        <v>45764.0</v>
      </c>
      <c r="I20" s="24">
        <v>5000.0</v>
      </c>
      <c r="J20" s="29">
        <v>45798.0</v>
      </c>
      <c r="K20" s="24">
        <v>5000.0</v>
      </c>
      <c r="L20" s="29">
        <v>45818.0</v>
      </c>
      <c r="M20" s="24">
        <v>5000.0</v>
      </c>
      <c r="N20" s="29">
        <v>45859.0</v>
      </c>
      <c r="O20" s="24">
        <v>5000.0</v>
      </c>
      <c r="P20" s="29">
        <v>45889.0</v>
      </c>
      <c r="Q20" s="24">
        <v>5000.0</v>
      </c>
      <c r="R20" s="29">
        <v>45911.0</v>
      </c>
      <c r="S20" s="24">
        <v>5000.0</v>
      </c>
      <c r="T20" s="29">
        <v>45948.0</v>
      </c>
      <c r="U20" s="24">
        <v>6000.0</v>
      </c>
      <c r="V20" s="29">
        <v>45991.0</v>
      </c>
      <c r="W20" s="24">
        <v>5000.0</v>
      </c>
      <c r="X20" s="29">
        <v>46016.0</v>
      </c>
      <c r="Y20" s="24"/>
      <c r="Z20" s="29"/>
      <c r="AA20" s="29"/>
      <c r="AB20" s="29"/>
      <c r="AC20" s="29"/>
      <c r="AD20" s="29"/>
      <c r="AE20" s="32"/>
      <c r="AF20" s="32"/>
    </row>
    <row r="21" ht="26.25" customHeight="1">
      <c r="A21" s="22"/>
      <c r="B21" s="24">
        <f t="shared" si="1"/>
        <v>17</v>
      </c>
      <c r="C21" s="24" t="s">
        <v>77</v>
      </c>
      <c r="D21" s="24" t="s">
        <v>105</v>
      </c>
      <c r="E21" s="24">
        <v>7.904340085E9</v>
      </c>
      <c r="F21" s="27">
        <v>5000.0</v>
      </c>
      <c r="G21" s="24">
        <v>5000.0</v>
      </c>
      <c r="H21" s="29">
        <v>45776.0</v>
      </c>
      <c r="I21" s="24">
        <v>0.0</v>
      </c>
      <c r="J21" s="24">
        <v>0.0</v>
      </c>
      <c r="K21" s="24">
        <v>0.0</v>
      </c>
      <c r="L21" s="24">
        <v>0.0</v>
      </c>
      <c r="M21" s="24">
        <v>3000.0</v>
      </c>
      <c r="N21" s="29">
        <v>45841.0</v>
      </c>
      <c r="O21" s="24">
        <v>3000.0</v>
      </c>
      <c r="P21" s="29">
        <v>45896.0</v>
      </c>
      <c r="Q21" s="24">
        <v>3000.0</v>
      </c>
      <c r="R21" s="29">
        <v>45924.0</v>
      </c>
      <c r="S21" s="24"/>
      <c r="T21" s="29"/>
      <c r="U21" s="24"/>
      <c r="V21" s="29"/>
      <c r="W21" s="24"/>
      <c r="X21" s="29"/>
      <c r="Y21" s="24"/>
      <c r="Z21" s="29"/>
      <c r="AA21" s="29"/>
      <c r="AB21" s="29"/>
      <c r="AC21" s="29"/>
      <c r="AD21" s="29"/>
      <c r="AE21" s="32"/>
      <c r="AF21" s="32"/>
    </row>
    <row r="22" ht="26.25" customHeight="1">
      <c r="A22" s="22"/>
      <c r="B22" s="24">
        <f t="shared" si="1"/>
        <v>18</v>
      </c>
      <c r="C22" s="24" t="s">
        <v>106</v>
      </c>
      <c r="D22" s="24" t="s">
        <v>107</v>
      </c>
      <c r="E22" s="24">
        <v>7.502719499E9</v>
      </c>
      <c r="F22" s="27">
        <v>3000.0</v>
      </c>
      <c r="G22" s="24">
        <v>3000.0</v>
      </c>
      <c r="H22" s="29">
        <v>45783.0</v>
      </c>
      <c r="I22" s="24">
        <v>3000.0</v>
      </c>
      <c r="J22" s="29">
        <v>45818.0</v>
      </c>
      <c r="K22" s="24">
        <v>0.0</v>
      </c>
      <c r="L22" s="24">
        <v>0.0</v>
      </c>
      <c r="M22" s="24">
        <v>3000.0</v>
      </c>
      <c r="N22" s="29">
        <v>45854.0</v>
      </c>
      <c r="O22" s="24">
        <v>3000.0</v>
      </c>
      <c r="P22" s="29">
        <v>45889.0</v>
      </c>
      <c r="Q22" s="24"/>
      <c r="R22" s="29"/>
      <c r="S22" s="24"/>
      <c r="T22" s="29"/>
      <c r="U22" s="24"/>
      <c r="V22" s="29"/>
      <c r="W22" s="24"/>
      <c r="X22" s="29"/>
      <c r="Y22" s="24"/>
      <c r="Z22" s="29"/>
      <c r="AA22" s="29"/>
      <c r="AB22" s="29"/>
      <c r="AC22" s="29"/>
      <c r="AD22" s="29"/>
      <c r="AE22" s="32"/>
      <c r="AF22" s="32"/>
    </row>
    <row r="23" ht="26.25" customHeight="1">
      <c r="B23" s="24">
        <f t="shared" si="1"/>
        <v>19</v>
      </c>
      <c r="C23" s="24" t="s">
        <v>109</v>
      </c>
      <c r="D23" s="69" t="s">
        <v>110</v>
      </c>
      <c r="E23" s="70"/>
      <c r="F23" s="72">
        <v>3000.0</v>
      </c>
      <c r="G23" s="24">
        <v>0.0</v>
      </c>
      <c r="H23" s="24">
        <v>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4">
        <v>0.0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51"/>
      <c r="AF23" s="51"/>
    </row>
    <row r="24" ht="26.25" customHeight="1">
      <c r="B24" s="24">
        <f t="shared" si="1"/>
        <v>20</v>
      </c>
      <c r="C24" s="24" t="s">
        <v>77</v>
      </c>
      <c r="D24" s="69" t="s">
        <v>113</v>
      </c>
      <c r="E24" s="69">
        <v>8.248840602E9</v>
      </c>
      <c r="F24" s="72">
        <v>2000.0</v>
      </c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>
        <v>2000.0</v>
      </c>
      <c r="R24" s="75">
        <v>45924.0</v>
      </c>
      <c r="S24" s="69"/>
      <c r="T24" s="75"/>
      <c r="U24" s="69"/>
      <c r="V24" s="75"/>
      <c r="W24" s="69"/>
      <c r="X24" s="75"/>
      <c r="Y24" s="69"/>
      <c r="Z24" s="75"/>
      <c r="AA24" s="75"/>
      <c r="AB24" s="75"/>
      <c r="AC24" s="75"/>
      <c r="AD24" s="75"/>
      <c r="AE24" s="76"/>
      <c r="AF24" s="76"/>
    </row>
    <row r="25" ht="26.25" customHeight="1">
      <c r="B25" s="24">
        <f t="shared" si="1"/>
        <v>21</v>
      </c>
      <c r="C25" s="24" t="s">
        <v>116</v>
      </c>
      <c r="D25" s="69" t="s">
        <v>117</v>
      </c>
      <c r="E25" s="77">
        <v>6.381884274E9</v>
      </c>
      <c r="F25" s="72">
        <v>3000.0</v>
      </c>
      <c r="G25" s="69"/>
      <c r="H25" s="69"/>
      <c r="I25" s="69"/>
      <c r="J25" s="69"/>
      <c r="K25" s="69"/>
      <c r="L25" s="69"/>
      <c r="M25" s="69">
        <v>3000.0</v>
      </c>
      <c r="N25" s="75">
        <v>45861.0</v>
      </c>
      <c r="O25" s="69"/>
      <c r="P25" s="69"/>
      <c r="Q25" s="69"/>
      <c r="R25" s="69"/>
      <c r="S25" s="69">
        <v>6000.0</v>
      </c>
      <c r="T25" s="78">
        <v>45959.0</v>
      </c>
      <c r="U25" s="69"/>
      <c r="V25" s="78"/>
      <c r="W25" s="69"/>
      <c r="X25" s="78"/>
      <c r="Y25" s="69"/>
      <c r="Z25" s="78"/>
      <c r="AA25" s="78"/>
      <c r="AB25" s="78"/>
      <c r="AC25" s="78"/>
      <c r="AD25" s="78"/>
      <c r="AE25" s="79"/>
      <c r="AF25" s="79"/>
    </row>
    <row r="26" ht="24.0" customHeight="1">
      <c r="B26" s="24">
        <f t="shared" si="1"/>
        <v>22</v>
      </c>
      <c r="C26" s="24" t="s">
        <v>58</v>
      </c>
      <c r="D26" s="24" t="s">
        <v>119</v>
      </c>
      <c r="E26" s="59">
        <v>6.374426335E9</v>
      </c>
      <c r="F26" s="80">
        <v>3000.0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83"/>
      <c r="Y26" s="82"/>
      <c r="Z26" s="83"/>
      <c r="AA26" s="83"/>
      <c r="AB26" s="83"/>
      <c r="AC26" s="82">
        <v>3000.0</v>
      </c>
      <c r="AD26" s="83">
        <v>46112.0</v>
      </c>
      <c r="AE26" s="84"/>
      <c r="AF26" s="84"/>
    </row>
    <row r="27" ht="24.0" customHeight="1">
      <c r="B27" s="85"/>
      <c r="C27" s="85"/>
      <c r="D27" s="24"/>
      <c r="E27" s="85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6"/>
      <c r="AF27" s="86"/>
    </row>
    <row r="28" ht="24.0" customHeight="1">
      <c r="B28" s="85"/>
      <c r="C28" s="85"/>
      <c r="D28" s="24"/>
      <c r="E28" s="85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6"/>
      <c r="AF28" s="86"/>
    </row>
    <row r="29" ht="24.0" customHeight="1">
      <c r="B29" s="85"/>
      <c r="C29" s="85"/>
      <c r="D29" s="24"/>
      <c r="E29" s="85"/>
      <c r="F29" s="81">
        <f>SUM(F5:F25)</f>
        <v>129000</v>
      </c>
      <c r="G29" s="81">
        <f>SUM(G5:G28)</f>
        <v>58000</v>
      </c>
      <c r="H29" s="81"/>
      <c r="I29" s="81">
        <f>SUM(I5:I28)</f>
        <v>81000</v>
      </c>
      <c r="J29" s="81"/>
      <c r="K29" s="81">
        <f>SUM(K5:K28)</f>
        <v>50000</v>
      </c>
      <c r="L29" s="81"/>
      <c r="M29" s="81">
        <f>SUM(M5:M28)</f>
        <v>84000</v>
      </c>
      <c r="N29" s="81"/>
      <c r="O29" s="81">
        <f>SUM(O5:O28)</f>
        <v>58000</v>
      </c>
      <c r="P29" s="81"/>
      <c r="Q29" s="81">
        <f>SUM(Q5:Q28)</f>
        <v>74000</v>
      </c>
      <c r="R29" s="81"/>
      <c r="S29" s="81">
        <f>SUM(S5:S28)</f>
        <v>71000</v>
      </c>
      <c r="T29" s="81"/>
      <c r="U29" s="81">
        <f>SUM(U5:U28)</f>
        <v>46000</v>
      </c>
      <c r="V29" s="81"/>
      <c r="W29" s="81">
        <f>SUM(W5:W28)</f>
        <v>45000</v>
      </c>
      <c r="X29" s="81"/>
      <c r="Y29" s="81">
        <f>SUM(Y5:Y28)</f>
        <v>0</v>
      </c>
      <c r="Z29" s="81"/>
      <c r="AA29" s="96">
        <f>SUM(AA5:AA28)</f>
        <v>27000</v>
      </c>
      <c r="AB29" s="81"/>
      <c r="AC29" s="96">
        <f>SUM(AC5:AC28)</f>
        <v>3000</v>
      </c>
      <c r="AD29" s="81"/>
      <c r="AE29" s="86"/>
      <c r="AF29" s="86"/>
    </row>
    <row r="30">
      <c r="C30" s="4"/>
      <c r="D30" s="4"/>
      <c r="E30" s="4"/>
      <c r="F30" s="99"/>
      <c r="G30" s="4"/>
      <c r="H30" s="4"/>
      <c r="I30" s="4"/>
      <c r="J30" s="4"/>
      <c r="K30" s="4"/>
      <c r="L30" s="4"/>
      <c r="M30" s="4"/>
      <c r="N30" s="4"/>
    </row>
    <row r="3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C32" s="101" t="s">
        <v>82</v>
      </c>
      <c r="D32" s="102" t="s">
        <v>145</v>
      </c>
      <c r="E32" s="102">
        <v>3000.0</v>
      </c>
      <c r="F32" s="103">
        <v>45877.0</v>
      </c>
      <c r="G32" s="4"/>
      <c r="H32" s="4"/>
      <c r="I32" s="4"/>
      <c r="J32" s="4"/>
      <c r="K32" s="4"/>
      <c r="L32" s="4"/>
      <c r="M32" s="4"/>
      <c r="N32" s="4"/>
    </row>
    <row r="33">
      <c r="C33" s="102" t="s">
        <v>116</v>
      </c>
      <c r="D33" s="102" t="s">
        <v>148</v>
      </c>
      <c r="E33" s="102">
        <v>12000.0</v>
      </c>
      <c r="F33" s="103">
        <v>45914.0</v>
      </c>
      <c r="G33" s="4"/>
      <c r="H33" s="4"/>
      <c r="I33" s="4"/>
      <c r="J33" s="4"/>
      <c r="K33" s="4"/>
      <c r="L33" s="4"/>
      <c r="M33" s="4"/>
      <c r="N33" s="4"/>
    </row>
    <row r="34">
      <c r="C34" s="101" t="s">
        <v>54</v>
      </c>
      <c r="D34" s="102" t="s">
        <v>151</v>
      </c>
      <c r="E34" s="102" t="s">
        <v>152</v>
      </c>
      <c r="F34" s="106">
        <v>45973.0</v>
      </c>
      <c r="G34" s="4"/>
      <c r="H34" s="4"/>
      <c r="I34" s="4"/>
      <c r="J34" s="4"/>
      <c r="K34" s="4"/>
      <c r="L34" s="4"/>
      <c r="M34" s="4"/>
      <c r="N34" s="4"/>
    </row>
    <row r="3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C42" s="4"/>
      <c r="D42" s="4"/>
      <c r="E42" s="4"/>
      <c r="F42" s="4"/>
      <c r="G42" s="99" t="s">
        <v>163</v>
      </c>
      <c r="H42" s="4"/>
      <c r="I42" s="4"/>
      <c r="J42" s="4"/>
      <c r="K42" s="4"/>
      <c r="L42" s="4"/>
      <c r="M42" s="4"/>
      <c r="N42" s="4"/>
    </row>
    <row r="43" ht="26.25" customHeight="1">
      <c r="A43" s="22"/>
      <c r="B43" s="24">
        <v>11.0</v>
      </c>
      <c r="C43" s="24" t="s">
        <v>164</v>
      </c>
      <c r="D43" s="24" t="s">
        <v>165</v>
      </c>
      <c r="E43" s="24">
        <v>9.445242813E9</v>
      </c>
      <c r="F43" s="27">
        <v>2000.0</v>
      </c>
      <c r="G43" s="24">
        <v>20000.0</v>
      </c>
      <c r="H43" s="29">
        <v>45828.0</v>
      </c>
      <c r="I43" s="24">
        <v>2000.0</v>
      </c>
      <c r="J43" s="29">
        <v>45855.0</v>
      </c>
      <c r="K43" s="24">
        <v>20000.0</v>
      </c>
      <c r="L43" s="29">
        <v>45858.0</v>
      </c>
      <c r="M43" s="24"/>
      <c r="N43" s="29"/>
      <c r="O43" s="22"/>
      <c r="P43" s="22"/>
      <c r="Q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26.25" customHeight="1">
      <c r="A45" s="22"/>
      <c r="B45" s="24">
        <v>13.0</v>
      </c>
      <c r="C45" s="24" t="s">
        <v>169</v>
      </c>
      <c r="D45" s="24" t="s">
        <v>171</v>
      </c>
      <c r="E45" s="24">
        <v>8.30001511E9</v>
      </c>
      <c r="F45" s="27">
        <v>5500.0</v>
      </c>
      <c r="G45" s="24">
        <v>5500.0</v>
      </c>
      <c r="H45" s="29">
        <v>45750.0</v>
      </c>
      <c r="I45" s="53"/>
      <c r="J45" s="53"/>
      <c r="K45" s="53"/>
      <c r="L45" s="53"/>
      <c r="M45" s="53"/>
      <c r="N45" s="53"/>
      <c r="O45" s="22"/>
      <c r="P45" s="22"/>
      <c r="Q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9" ht="29.25" customHeight="1">
      <c r="C49" s="116" t="s">
        <v>6</v>
      </c>
      <c r="D49" s="117" t="s">
        <v>172</v>
      </c>
      <c r="E49" s="117" t="s">
        <v>173</v>
      </c>
    </row>
    <row r="50" ht="29.25" customHeight="1">
      <c r="C50" s="69">
        <v>1.0</v>
      </c>
      <c r="D50" s="119" t="s">
        <v>174</v>
      </c>
      <c r="E50" s="121">
        <v>11000.0</v>
      </c>
    </row>
    <row r="51" ht="29.25" customHeight="1">
      <c r="C51" s="70">
        <f t="shared" ref="C51:C77" si="2">C50+1</f>
        <v>2</v>
      </c>
      <c r="D51" s="119" t="s">
        <v>177</v>
      </c>
      <c r="E51" s="121">
        <v>11000.0</v>
      </c>
    </row>
    <row r="52" ht="29.25" customHeight="1">
      <c r="C52" s="70">
        <f t="shared" si="2"/>
        <v>3</v>
      </c>
      <c r="D52" s="119" t="s">
        <v>180</v>
      </c>
      <c r="E52" s="121">
        <v>20000.0</v>
      </c>
    </row>
    <row r="53" ht="29.25" customHeight="1">
      <c r="C53" s="70">
        <f t="shared" si="2"/>
        <v>4</v>
      </c>
      <c r="D53" s="119" t="s">
        <v>182</v>
      </c>
      <c r="E53" s="127">
        <v>11000.0</v>
      </c>
      <c r="G53" s="51"/>
      <c r="H53" s="128"/>
    </row>
    <row r="54" ht="29.25" customHeight="1">
      <c r="C54" s="70">
        <f t="shared" si="2"/>
        <v>5</v>
      </c>
      <c r="D54" s="119" t="s">
        <v>184</v>
      </c>
      <c r="E54" s="121">
        <v>15000.0</v>
      </c>
      <c r="G54" s="51"/>
      <c r="H54" s="128"/>
    </row>
    <row r="55" ht="29.25" customHeight="1">
      <c r="C55" s="70">
        <f t="shared" si="2"/>
        <v>6</v>
      </c>
      <c r="D55" s="119" t="s">
        <v>186</v>
      </c>
      <c r="E55" s="121">
        <v>10000.0</v>
      </c>
    </row>
    <row r="56" ht="29.25" customHeight="1">
      <c r="C56" s="70">
        <f t="shared" si="2"/>
        <v>7</v>
      </c>
      <c r="D56" s="119" t="s">
        <v>188</v>
      </c>
      <c r="E56" s="121">
        <v>2000.0</v>
      </c>
    </row>
    <row r="57" ht="29.25" customHeight="1">
      <c r="C57" s="70">
        <f t="shared" si="2"/>
        <v>8</v>
      </c>
      <c r="D57" s="119" t="s">
        <v>189</v>
      </c>
      <c r="E57" s="121">
        <v>2000.0</v>
      </c>
    </row>
    <row r="58" ht="29.25" customHeight="1">
      <c r="C58" s="70">
        <f t="shared" si="2"/>
        <v>9</v>
      </c>
      <c r="D58" s="119" t="s">
        <v>191</v>
      </c>
      <c r="E58" s="121">
        <v>2000.0</v>
      </c>
    </row>
    <row r="59" ht="29.25" customHeight="1">
      <c r="C59" s="70">
        <f t="shared" si="2"/>
        <v>10</v>
      </c>
      <c r="D59" s="119" t="s">
        <v>192</v>
      </c>
      <c r="E59" s="121">
        <v>5000.0</v>
      </c>
    </row>
    <row r="60" ht="29.25" customHeight="1">
      <c r="C60" s="70">
        <f t="shared" si="2"/>
        <v>11</v>
      </c>
      <c r="D60" s="119" t="s">
        <v>193</v>
      </c>
      <c r="E60" s="121">
        <v>5000.0</v>
      </c>
    </row>
    <row r="61" ht="29.25" customHeight="1">
      <c r="C61" s="70">
        <f t="shared" si="2"/>
        <v>12</v>
      </c>
      <c r="D61" s="119" t="s">
        <v>194</v>
      </c>
      <c r="E61" s="121">
        <v>5000.0</v>
      </c>
    </row>
    <row r="62" ht="29.25" customHeight="1">
      <c r="C62" s="70">
        <f t="shared" si="2"/>
        <v>13</v>
      </c>
      <c r="D62" s="119" t="s">
        <v>195</v>
      </c>
      <c r="E62" s="121">
        <v>5000.0</v>
      </c>
    </row>
    <row r="63" ht="29.25" customHeight="1">
      <c r="C63" s="70">
        <f t="shared" si="2"/>
        <v>14</v>
      </c>
      <c r="D63" s="119" t="s">
        <v>196</v>
      </c>
      <c r="E63" s="121">
        <v>5000.0</v>
      </c>
    </row>
    <row r="64" ht="29.25" customHeight="1">
      <c r="C64" s="70">
        <f t="shared" si="2"/>
        <v>15</v>
      </c>
      <c r="D64" s="119" t="s">
        <v>197</v>
      </c>
      <c r="E64" s="121">
        <v>5000.0</v>
      </c>
    </row>
    <row r="65" ht="29.25" customHeight="1">
      <c r="C65" s="70">
        <f t="shared" si="2"/>
        <v>16</v>
      </c>
      <c r="D65" s="119" t="s">
        <v>198</v>
      </c>
      <c r="E65" s="121">
        <v>3000.0</v>
      </c>
    </row>
    <row r="66" ht="29.25" customHeight="1">
      <c r="C66" s="70">
        <f t="shared" si="2"/>
        <v>17</v>
      </c>
      <c r="D66" s="119" t="s">
        <v>199</v>
      </c>
      <c r="E66" s="127">
        <v>3000.0</v>
      </c>
    </row>
    <row r="67" ht="29.25" customHeight="1">
      <c r="C67" s="70">
        <f t="shared" si="2"/>
        <v>18</v>
      </c>
      <c r="D67" s="119" t="s">
        <v>200</v>
      </c>
      <c r="E67" s="121">
        <v>5000.0</v>
      </c>
    </row>
    <row r="68" ht="29.25" customHeight="1">
      <c r="C68" s="70">
        <f t="shared" si="2"/>
        <v>19</v>
      </c>
      <c r="D68" s="119" t="s">
        <v>202</v>
      </c>
      <c r="E68" s="121">
        <v>5000.0</v>
      </c>
    </row>
    <row r="69" ht="29.25" customHeight="1">
      <c r="C69" s="70">
        <f t="shared" si="2"/>
        <v>20</v>
      </c>
      <c r="D69" s="119" t="s">
        <v>204</v>
      </c>
      <c r="E69" s="121">
        <v>3000.0</v>
      </c>
    </row>
    <row r="70" ht="29.25" customHeight="1">
      <c r="C70" s="70">
        <f t="shared" si="2"/>
        <v>21</v>
      </c>
      <c r="D70" s="144" t="s">
        <v>205</v>
      </c>
      <c r="E70" s="146">
        <v>2000.0</v>
      </c>
    </row>
    <row r="71" ht="29.25" customHeight="1">
      <c r="C71" s="70">
        <f t="shared" si="2"/>
        <v>22</v>
      </c>
      <c r="D71" s="147" t="s">
        <v>207</v>
      </c>
      <c r="E71" s="146">
        <v>3000.0</v>
      </c>
    </row>
    <row r="72" ht="29.25" customHeight="1">
      <c r="C72" s="70">
        <f t="shared" si="2"/>
        <v>23</v>
      </c>
      <c r="D72" s="147" t="s">
        <v>209</v>
      </c>
      <c r="E72" s="146">
        <v>10000.0</v>
      </c>
    </row>
    <row r="73" ht="29.25" customHeight="1">
      <c r="C73" s="70">
        <f t="shared" si="2"/>
        <v>24</v>
      </c>
      <c r="D73" s="147" t="s">
        <v>210</v>
      </c>
      <c r="E73" s="146">
        <v>12000.0</v>
      </c>
    </row>
    <row r="74" ht="29.25" customHeight="1">
      <c r="C74" s="70">
        <f t="shared" si="2"/>
        <v>25</v>
      </c>
      <c r="D74" s="147" t="s">
        <v>211</v>
      </c>
      <c r="E74" s="146">
        <v>3000.0</v>
      </c>
    </row>
    <row r="75" ht="29.25" customHeight="1">
      <c r="C75" s="70">
        <f t="shared" si="2"/>
        <v>26</v>
      </c>
      <c r="D75" s="147" t="s">
        <v>212</v>
      </c>
      <c r="E75" s="146">
        <v>2000.0</v>
      </c>
    </row>
    <row r="76" ht="29.25" customHeight="1">
      <c r="C76" s="70">
        <f t="shared" si="2"/>
        <v>27</v>
      </c>
      <c r="D76" s="147" t="s">
        <v>213</v>
      </c>
      <c r="E76" s="146">
        <v>5500.0</v>
      </c>
    </row>
    <row r="77" ht="29.25" customHeight="1">
      <c r="C77" s="70">
        <f t="shared" si="2"/>
        <v>28</v>
      </c>
      <c r="D77" s="144"/>
      <c r="E77" s="146"/>
    </row>
    <row r="78" ht="29.25" customHeight="1">
      <c r="C78" s="150"/>
      <c r="D78" s="152"/>
      <c r="E78" s="152"/>
    </row>
    <row r="79" ht="29.25" customHeight="1">
      <c r="C79" s="150"/>
      <c r="D79" s="153" t="s">
        <v>215</v>
      </c>
      <c r="E79" s="152">
        <f>SUM(E50:E78)</f>
        <v>170500</v>
      </c>
    </row>
    <row r="86">
      <c r="C86" s="10" t="s">
        <v>5</v>
      </c>
      <c r="D86" s="4"/>
      <c r="E86" s="4"/>
      <c r="F86" s="4"/>
      <c r="G86" s="4"/>
      <c r="H86" s="4"/>
      <c r="I86" s="4"/>
    </row>
    <row r="87" ht="36.75" customHeight="1">
      <c r="C87" s="155" t="s">
        <v>6</v>
      </c>
      <c r="D87" s="157" t="s">
        <v>9</v>
      </c>
      <c r="E87" s="157" t="s">
        <v>10</v>
      </c>
      <c r="F87" s="157" t="s">
        <v>11</v>
      </c>
      <c r="G87" s="157" t="s">
        <v>12</v>
      </c>
      <c r="H87" s="157" t="s">
        <v>13</v>
      </c>
      <c r="I87" s="157" t="s">
        <v>14</v>
      </c>
      <c r="J87" s="157" t="s">
        <v>15</v>
      </c>
      <c r="K87" s="157" t="s">
        <v>14</v>
      </c>
      <c r="L87" s="157" t="s">
        <v>16</v>
      </c>
      <c r="M87" s="157" t="s">
        <v>14</v>
      </c>
      <c r="N87" s="157" t="s">
        <v>17</v>
      </c>
      <c r="O87" s="157" t="s">
        <v>14</v>
      </c>
      <c r="P87" s="157" t="s">
        <v>216</v>
      </c>
      <c r="Q87" s="157" t="s">
        <v>14</v>
      </c>
    </row>
    <row r="88" ht="36.75" customHeight="1">
      <c r="C88" s="24">
        <v>1.0</v>
      </c>
      <c r="D88" s="24" t="s">
        <v>217</v>
      </c>
      <c r="E88" s="24" t="s">
        <v>218</v>
      </c>
      <c r="F88" s="24">
        <v>9.500774029E9</v>
      </c>
      <c r="G88" s="27">
        <v>5000.0</v>
      </c>
      <c r="H88" s="24">
        <v>5000.0</v>
      </c>
      <c r="I88" s="29">
        <v>46128.0</v>
      </c>
      <c r="J88" s="24">
        <v>5000.0</v>
      </c>
      <c r="K88" s="29">
        <v>46162.0</v>
      </c>
      <c r="L88" s="24">
        <v>5000.0</v>
      </c>
      <c r="M88" s="29">
        <v>46192.0</v>
      </c>
      <c r="N88" s="24">
        <v>5000.0</v>
      </c>
      <c r="O88" s="29">
        <v>46219.0</v>
      </c>
      <c r="P88" s="24"/>
      <c r="Q88" s="29"/>
    </row>
    <row r="89" ht="36.75" customHeight="1">
      <c r="C89" s="24">
        <f t="shared" ref="C89:C108" si="3">C88+1</f>
        <v>2</v>
      </c>
      <c r="D89" s="24" t="s">
        <v>219</v>
      </c>
      <c r="E89" s="24" t="s">
        <v>220</v>
      </c>
      <c r="F89" s="24">
        <v>9.89480204E9</v>
      </c>
      <c r="G89" s="27">
        <v>27000.0</v>
      </c>
      <c r="H89" s="24">
        <v>54000.0</v>
      </c>
      <c r="I89" s="24" t="s">
        <v>221</v>
      </c>
      <c r="J89" s="24">
        <v>27000.0</v>
      </c>
      <c r="K89" s="24" t="s">
        <v>222</v>
      </c>
      <c r="L89" s="24">
        <v>27000.0</v>
      </c>
      <c r="M89" s="24" t="s">
        <v>223</v>
      </c>
      <c r="N89" s="24">
        <v>27000.0</v>
      </c>
      <c r="O89" s="24" t="s">
        <v>224</v>
      </c>
      <c r="P89" s="24"/>
      <c r="Q89" s="24"/>
    </row>
    <row r="90" ht="36.75" customHeight="1">
      <c r="C90" s="24">
        <f t="shared" si="3"/>
        <v>3</v>
      </c>
      <c r="D90" s="24" t="s">
        <v>225</v>
      </c>
      <c r="E90" s="24" t="s">
        <v>226</v>
      </c>
      <c r="F90" s="24">
        <v>6.381884274E9</v>
      </c>
      <c r="G90" s="27">
        <v>3000.0</v>
      </c>
      <c r="H90" s="24">
        <v>3000.0</v>
      </c>
      <c r="I90" s="29">
        <v>46140.0</v>
      </c>
      <c r="J90" s="24"/>
      <c r="K90" s="29"/>
      <c r="L90" s="24"/>
      <c r="M90" s="29"/>
      <c r="N90" s="24"/>
      <c r="O90" s="29"/>
      <c r="P90" s="24"/>
      <c r="Q90" s="29"/>
    </row>
    <row r="91" ht="36.75" customHeight="1">
      <c r="C91" s="24">
        <f t="shared" si="3"/>
        <v>4</v>
      </c>
      <c r="D91" s="24" t="s">
        <v>229</v>
      </c>
      <c r="E91" s="24" t="s">
        <v>230</v>
      </c>
      <c r="F91" s="24">
        <v>8.903135546E9</v>
      </c>
      <c r="G91" s="27">
        <v>2000.0</v>
      </c>
      <c r="H91" s="24">
        <v>2000.0</v>
      </c>
      <c r="I91" s="29">
        <v>46100.0</v>
      </c>
      <c r="J91" s="24">
        <v>2000.0</v>
      </c>
      <c r="K91" s="29">
        <v>46157.0</v>
      </c>
      <c r="L91" s="24">
        <v>2000.0</v>
      </c>
      <c r="M91" s="29">
        <v>46192.0</v>
      </c>
      <c r="N91" s="24">
        <v>2000.0</v>
      </c>
      <c r="O91" s="29">
        <v>46222.0</v>
      </c>
      <c r="P91" s="24"/>
      <c r="Q91" s="29"/>
    </row>
    <row r="92" ht="36.75" customHeight="1">
      <c r="C92" s="24">
        <f t="shared" si="3"/>
        <v>5</v>
      </c>
      <c r="D92" s="24" t="s">
        <v>58</v>
      </c>
      <c r="E92" s="24" t="s">
        <v>233</v>
      </c>
      <c r="F92" s="24">
        <v>6.374426335E9</v>
      </c>
      <c r="G92" s="27">
        <v>3000.0</v>
      </c>
      <c r="H92" s="24"/>
      <c r="I92" s="24"/>
      <c r="J92" s="24">
        <v>6000.0</v>
      </c>
      <c r="K92" s="24" t="s">
        <v>234</v>
      </c>
      <c r="L92" s="24"/>
      <c r="M92" s="24"/>
      <c r="N92" s="24"/>
      <c r="O92" s="24"/>
      <c r="P92" s="24"/>
      <c r="Q92" s="24"/>
    </row>
    <row r="93" ht="36.75" customHeight="1">
      <c r="C93" s="24">
        <f t="shared" si="3"/>
        <v>6</v>
      </c>
      <c r="D93" s="24" t="s">
        <v>235</v>
      </c>
      <c r="E93" s="24" t="s">
        <v>236</v>
      </c>
      <c r="F93" s="24">
        <v>9.445242813E9</v>
      </c>
      <c r="G93" s="27">
        <v>5000.0</v>
      </c>
      <c r="H93" s="24">
        <v>23000.0</v>
      </c>
      <c r="I93" s="29">
        <v>46159.0</v>
      </c>
      <c r="J93" s="24">
        <v>15000.0</v>
      </c>
      <c r="K93" s="29">
        <v>46161.0</v>
      </c>
      <c r="L93" s="24"/>
      <c r="M93" s="29"/>
      <c r="N93" s="24"/>
      <c r="O93" s="29"/>
      <c r="P93" s="24"/>
      <c r="Q93" s="29"/>
    </row>
    <row r="94" ht="36.75" customHeight="1">
      <c r="C94" s="24">
        <f t="shared" si="3"/>
        <v>7</v>
      </c>
      <c r="D94" s="24" t="s">
        <v>54</v>
      </c>
      <c r="E94" s="24" t="s">
        <v>55</v>
      </c>
      <c r="F94" s="24">
        <v>8.608912463E9</v>
      </c>
      <c r="G94" s="27">
        <v>11000.0</v>
      </c>
      <c r="H94" s="24"/>
      <c r="I94" s="29"/>
      <c r="J94" s="24"/>
      <c r="K94" s="29"/>
      <c r="L94" s="24"/>
      <c r="M94" s="29"/>
      <c r="N94" s="24">
        <v>11000.0</v>
      </c>
      <c r="O94" s="29">
        <v>46226.0</v>
      </c>
      <c r="P94" s="24">
        <v>11000.0</v>
      </c>
      <c r="Q94" s="29">
        <v>46261.0</v>
      </c>
    </row>
    <row r="95" ht="36.75" customHeight="1">
      <c r="C95" s="24">
        <f t="shared" si="3"/>
        <v>8</v>
      </c>
      <c r="D95" s="24" t="s">
        <v>49</v>
      </c>
      <c r="E95" s="24" t="s">
        <v>50</v>
      </c>
      <c r="F95" s="24" t="s">
        <v>51</v>
      </c>
      <c r="G95" s="27"/>
      <c r="H95" s="24"/>
      <c r="I95" s="24"/>
      <c r="J95" s="24"/>
      <c r="K95" s="24"/>
      <c r="L95" s="24"/>
      <c r="M95" s="24"/>
      <c r="N95" s="24">
        <v>23000.0</v>
      </c>
      <c r="O95" s="29">
        <v>46226.0</v>
      </c>
      <c r="P95" s="24"/>
      <c r="Q95" s="29"/>
    </row>
    <row r="96" ht="36.75" customHeight="1">
      <c r="C96" s="24">
        <f t="shared" si="3"/>
        <v>9</v>
      </c>
      <c r="D96" s="24" t="s">
        <v>54</v>
      </c>
      <c r="E96" s="24" t="s">
        <v>238</v>
      </c>
      <c r="F96" s="24"/>
      <c r="G96" s="27">
        <v>5000.0</v>
      </c>
      <c r="H96" s="24"/>
      <c r="I96" s="29"/>
      <c r="J96" s="24"/>
      <c r="K96" s="29"/>
      <c r="L96" s="24"/>
      <c r="M96" s="29"/>
      <c r="N96" s="24"/>
      <c r="O96" s="29"/>
      <c r="P96" s="24">
        <v>5000.0</v>
      </c>
      <c r="Q96" s="29">
        <v>46251.0</v>
      </c>
    </row>
    <row r="97" ht="36.75" customHeight="1">
      <c r="C97" s="24">
        <f t="shared" si="3"/>
        <v>10</v>
      </c>
      <c r="D97" s="24" t="s">
        <v>217</v>
      </c>
      <c r="E97" s="24" t="s">
        <v>239</v>
      </c>
      <c r="F97" s="24">
        <v>9.02589763E9</v>
      </c>
      <c r="G97" s="27">
        <v>5000.0</v>
      </c>
      <c r="H97" s="24"/>
      <c r="I97" s="24"/>
      <c r="J97" s="24"/>
      <c r="K97" s="24"/>
      <c r="L97" s="24"/>
      <c r="M97" s="24"/>
      <c r="N97" s="24"/>
      <c r="O97" s="24"/>
      <c r="P97" s="24">
        <v>5000.0</v>
      </c>
      <c r="Q97" s="29">
        <v>46261.0</v>
      </c>
    </row>
    <row r="98" ht="36.75" customHeight="1">
      <c r="C98" s="24">
        <f t="shared" si="3"/>
        <v>11</v>
      </c>
      <c r="D98" s="24"/>
      <c r="E98" s="24"/>
      <c r="F98" s="53"/>
      <c r="G98" s="27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ht="36.75" customHeight="1">
      <c r="C99" s="24">
        <f t="shared" si="3"/>
        <v>12</v>
      </c>
      <c r="D99" s="24"/>
      <c r="E99" s="24"/>
      <c r="F99" s="53"/>
      <c r="G99" s="27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ht="36.75" customHeight="1">
      <c r="C100" s="24">
        <f t="shared" si="3"/>
        <v>13</v>
      </c>
      <c r="D100" s="24"/>
      <c r="E100" s="24"/>
      <c r="F100" s="24"/>
      <c r="G100" s="27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ht="36.75" customHeight="1">
      <c r="C101" s="24">
        <f t="shared" si="3"/>
        <v>14</v>
      </c>
      <c r="D101" s="24"/>
      <c r="E101" s="24"/>
      <c r="F101" s="24"/>
      <c r="G101" s="27"/>
      <c r="H101" s="24"/>
      <c r="I101" s="29"/>
      <c r="J101" s="24"/>
      <c r="K101" s="29"/>
      <c r="L101" s="24"/>
      <c r="M101" s="29"/>
      <c r="N101" s="24"/>
      <c r="O101" s="29"/>
      <c r="P101" s="24"/>
      <c r="Q101" s="29"/>
    </row>
    <row r="102" ht="36.75" customHeight="1">
      <c r="C102" s="24">
        <f t="shared" si="3"/>
        <v>15</v>
      </c>
      <c r="D102" s="24"/>
      <c r="E102" s="24"/>
      <c r="F102" s="53"/>
      <c r="G102" s="27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ht="36.75" customHeight="1">
      <c r="C103" s="24">
        <f t="shared" si="3"/>
        <v>16</v>
      </c>
      <c r="D103" s="24"/>
      <c r="E103" s="24"/>
      <c r="F103" s="24"/>
      <c r="G103" s="27"/>
      <c r="H103" s="24"/>
      <c r="I103" s="29"/>
      <c r="J103" s="24"/>
      <c r="K103" s="29"/>
      <c r="L103" s="24"/>
      <c r="M103" s="29"/>
      <c r="N103" s="24"/>
      <c r="O103" s="29"/>
      <c r="P103" s="24"/>
      <c r="Q103" s="29"/>
    </row>
    <row r="104" ht="36.75" customHeight="1">
      <c r="C104" s="24">
        <f t="shared" si="3"/>
        <v>17</v>
      </c>
      <c r="D104" s="24"/>
      <c r="E104" s="24"/>
      <c r="F104" s="24"/>
      <c r="G104" s="27"/>
      <c r="H104" s="24"/>
      <c r="I104" s="29"/>
      <c r="J104" s="24"/>
      <c r="K104" s="29"/>
      <c r="L104" s="24"/>
      <c r="M104" s="29"/>
      <c r="N104" s="24"/>
      <c r="O104" s="29"/>
      <c r="P104" s="24"/>
      <c r="Q104" s="29"/>
    </row>
    <row r="105" ht="36.75" customHeight="1">
      <c r="C105" s="24">
        <f t="shared" si="3"/>
        <v>18</v>
      </c>
      <c r="D105" s="24"/>
      <c r="E105" s="24"/>
      <c r="F105" s="24"/>
      <c r="G105" s="27"/>
      <c r="H105" s="24"/>
      <c r="I105" s="29"/>
      <c r="J105" s="24"/>
      <c r="K105" s="29"/>
      <c r="L105" s="24"/>
      <c r="M105" s="29"/>
      <c r="N105" s="24"/>
      <c r="O105" s="29"/>
      <c r="P105" s="24"/>
      <c r="Q105" s="29"/>
    </row>
    <row r="106" ht="36.75" customHeight="1">
      <c r="C106" s="24">
        <f t="shared" si="3"/>
        <v>19</v>
      </c>
      <c r="D106" s="24"/>
      <c r="E106" s="69"/>
      <c r="F106" s="70"/>
      <c r="G106" s="72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ht="36.75" customHeight="1">
      <c r="C107" s="24">
        <f t="shared" si="3"/>
        <v>20</v>
      </c>
      <c r="D107" s="24"/>
      <c r="E107" s="69"/>
      <c r="F107" s="69"/>
      <c r="G107" s="72"/>
      <c r="H107" s="69"/>
      <c r="I107" s="69"/>
      <c r="J107" s="69"/>
      <c r="K107" s="69"/>
      <c r="L107" s="69"/>
      <c r="M107" s="69"/>
      <c r="N107" s="69"/>
      <c r="O107" s="69"/>
      <c r="P107" s="69"/>
      <c r="Q107" s="69"/>
    </row>
    <row r="108" ht="36.75" customHeight="1">
      <c r="C108" s="24">
        <f t="shared" si="3"/>
        <v>21</v>
      </c>
      <c r="D108" s="24"/>
      <c r="E108" s="69"/>
      <c r="F108" s="77"/>
      <c r="G108" s="72"/>
      <c r="H108" s="69"/>
      <c r="I108" s="69"/>
      <c r="J108" s="69"/>
      <c r="K108" s="69"/>
      <c r="L108" s="69"/>
      <c r="M108" s="69"/>
      <c r="N108" s="69"/>
      <c r="O108" s="69"/>
      <c r="P108" s="69"/>
      <c r="Q108" s="69"/>
    </row>
    <row r="109" ht="36.75" customHeight="1">
      <c r="C109" s="85"/>
      <c r="D109" s="85"/>
      <c r="E109" s="24"/>
      <c r="F109" s="85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</row>
    <row r="110" ht="36.75" customHeight="1">
      <c r="C110" s="85"/>
      <c r="D110" s="85"/>
      <c r="E110" s="24"/>
      <c r="F110" s="85"/>
      <c r="G110" s="81">
        <f>SUM(G88:G108)</f>
        <v>66000</v>
      </c>
      <c r="H110" s="81">
        <f>SUM(H88:H109)</f>
        <v>87000</v>
      </c>
      <c r="I110" s="81"/>
      <c r="J110" s="81">
        <f>SUM(J88:J109)</f>
        <v>55000</v>
      </c>
      <c r="K110" s="81"/>
      <c r="L110" s="81">
        <f>SUM(L88:L109)</f>
        <v>34000</v>
      </c>
      <c r="M110" s="81"/>
      <c r="N110" s="81">
        <f>SUM(N88:N109)</f>
        <v>68000</v>
      </c>
      <c r="O110" s="81"/>
      <c r="P110" s="81">
        <f>SUM(P88:P109)</f>
        <v>21000</v>
      </c>
      <c r="Q110" s="81"/>
    </row>
  </sheetData>
  <hyperlinks>
    <hyperlink r:id="rId1" ref="C49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8.5"/>
    <col customWidth="1" min="7" max="7" width="22.5"/>
  </cols>
  <sheetData>
    <row r="4">
      <c r="A4" s="224" t="s">
        <v>295</v>
      </c>
      <c r="F4" s="224" t="s">
        <v>295</v>
      </c>
    </row>
    <row r="5">
      <c r="A5" s="225" t="s">
        <v>6</v>
      </c>
      <c r="B5" s="226" t="s">
        <v>302</v>
      </c>
      <c r="C5" s="226" t="s">
        <v>303</v>
      </c>
      <c r="D5" s="226" t="s">
        <v>173</v>
      </c>
      <c r="E5" s="227"/>
      <c r="F5" s="228" t="s">
        <v>6</v>
      </c>
      <c r="G5" s="229" t="s">
        <v>10</v>
      </c>
      <c r="H5" s="229" t="s">
        <v>308</v>
      </c>
      <c r="I5" s="229" t="s">
        <v>173</v>
      </c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</row>
    <row r="6">
      <c r="A6" s="230">
        <v>1.0</v>
      </c>
      <c r="B6" s="231" t="s">
        <v>312</v>
      </c>
      <c r="C6" s="231" t="s">
        <v>314</v>
      </c>
      <c r="D6" s="231">
        <v>4000.0</v>
      </c>
      <c r="F6" s="230">
        <v>1.0</v>
      </c>
      <c r="G6" s="232" t="s">
        <v>315</v>
      </c>
      <c r="H6" s="233"/>
      <c r="I6" s="234">
        <v>1000.0</v>
      </c>
    </row>
    <row r="7">
      <c r="A7" s="237">
        <f t="shared" ref="A7:A42" si="1">A6+1</f>
        <v>2</v>
      </c>
      <c r="B7" s="231" t="s">
        <v>319</v>
      </c>
      <c r="C7" s="231" t="s">
        <v>314</v>
      </c>
      <c r="D7" s="231">
        <v>4000.0</v>
      </c>
      <c r="F7" s="237">
        <f t="shared" ref="F7:F24" si="2">F6+1</f>
        <v>2</v>
      </c>
      <c r="G7" s="232" t="s">
        <v>322</v>
      </c>
      <c r="H7" s="233"/>
      <c r="I7" s="234">
        <v>500.0</v>
      </c>
    </row>
    <row r="8">
      <c r="A8" s="237">
        <f t="shared" si="1"/>
        <v>3</v>
      </c>
      <c r="B8" s="231" t="s">
        <v>323</v>
      </c>
      <c r="C8" s="231" t="s">
        <v>314</v>
      </c>
      <c r="D8" s="231">
        <v>3000.0</v>
      </c>
      <c r="F8" s="237">
        <f t="shared" si="2"/>
        <v>3</v>
      </c>
      <c r="G8" s="232" t="s">
        <v>326</v>
      </c>
      <c r="H8" s="232" t="s">
        <v>327</v>
      </c>
      <c r="I8" s="234">
        <v>500.0</v>
      </c>
    </row>
    <row r="9">
      <c r="A9" s="237">
        <f t="shared" si="1"/>
        <v>4</v>
      </c>
      <c r="B9" s="231" t="s">
        <v>328</v>
      </c>
      <c r="C9" s="231" t="s">
        <v>244</v>
      </c>
      <c r="D9" s="231">
        <v>3000.0</v>
      </c>
      <c r="F9" s="237">
        <f t="shared" si="2"/>
        <v>4</v>
      </c>
      <c r="G9" s="232" t="s">
        <v>329</v>
      </c>
      <c r="H9" s="232" t="s">
        <v>314</v>
      </c>
      <c r="I9" s="234">
        <v>1000.0</v>
      </c>
    </row>
    <row r="10">
      <c r="A10" s="237">
        <f t="shared" si="1"/>
        <v>5</v>
      </c>
      <c r="B10" s="231" t="s">
        <v>332</v>
      </c>
      <c r="C10" s="231" t="s">
        <v>314</v>
      </c>
      <c r="D10" s="231">
        <v>4000.0</v>
      </c>
      <c r="F10" s="237">
        <f t="shared" si="2"/>
        <v>5</v>
      </c>
      <c r="G10" s="232" t="s">
        <v>333</v>
      </c>
      <c r="H10" s="232" t="s">
        <v>334</v>
      </c>
      <c r="I10" s="234">
        <v>1000.0</v>
      </c>
    </row>
    <row r="11">
      <c r="A11" s="237">
        <f t="shared" si="1"/>
        <v>6</v>
      </c>
      <c r="B11" s="231" t="s">
        <v>335</v>
      </c>
      <c r="C11" s="231" t="s">
        <v>314</v>
      </c>
      <c r="D11" s="231">
        <v>4000.0</v>
      </c>
      <c r="F11" s="237">
        <f t="shared" si="2"/>
        <v>6</v>
      </c>
      <c r="G11" s="232" t="s">
        <v>337</v>
      </c>
      <c r="H11" s="232" t="s">
        <v>327</v>
      </c>
      <c r="I11" s="234">
        <v>500.0</v>
      </c>
    </row>
    <row r="12">
      <c r="A12" s="237">
        <f t="shared" si="1"/>
        <v>7</v>
      </c>
      <c r="B12" s="231" t="s">
        <v>338</v>
      </c>
      <c r="C12" s="231" t="s">
        <v>244</v>
      </c>
      <c r="D12" s="231">
        <v>3000.0</v>
      </c>
      <c r="F12" s="237">
        <f t="shared" si="2"/>
        <v>7</v>
      </c>
      <c r="G12" s="232" t="s">
        <v>339</v>
      </c>
      <c r="H12" s="232" t="s">
        <v>244</v>
      </c>
      <c r="I12" s="234">
        <v>1000.0</v>
      </c>
    </row>
    <row r="13">
      <c r="A13" s="237">
        <f t="shared" si="1"/>
        <v>8</v>
      </c>
      <c r="B13" s="231" t="s">
        <v>341</v>
      </c>
      <c r="C13" s="231" t="s">
        <v>244</v>
      </c>
      <c r="D13" s="231">
        <v>3000.0</v>
      </c>
      <c r="F13" s="237">
        <f t="shared" si="2"/>
        <v>8</v>
      </c>
      <c r="G13" s="232" t="s">
        <v>343</v>
      </c>
      <c r="H13" s="232" t="s">
        <v>327</v>
      </c>
      <c r="I13" s="234">
        <v>500.0</v>
      </c>
    </row>
    <row r="14">
      <c r="A14" s="237">
        <f t="shared" si="1"/>
        <v>9</v>
      </c>
      <c r="B14" s="231" t="s">
        <v>344</v>
      </c>
      <c r="C14" s="231" t="s">
        <v>314</v>
      </c>
      <c r="D14" s="231">
        <v>4000.0</v>
      </c>
      <c r="F14" s="237">
        <f t="shared" si="2"/>
        <v>9</v>
      </c>
      <c r="G14" s="232" t="s">
        <v>345</v>
      </c>
      <c r="H14" s="232" t="s">
        <v>244</v>
      </c>
      <c r="I14" s="234">
        <v>500.0</v>
      </c>
    </row>
    <row r="15">
      <c r="A15" s="237">
        <f t="shared" si="1"/>
        <v>10</v>
      </c>
      <c r="B15" s="231" t="s">
        <v>347</v>
      </c>
      <c r="C15" s="231" t="s">
        <v>314</v>
      </c>
      <c r="D15" s="231">
        <v>4000.0</v>
      </c>
      <c r="F15" s="237">
        <f t="shared" si="2"/>
        <v>10</v>
      </c>
      <c r="G15" s="232" t="s">
        <v>348</v>
      </c>
      <c r="H15" s="232" t="s">
        <v>244</v>
      </c>
      <c r="I15" s="234">
        <v>600.0</v>
      </c>
    </row>
    <row r="16">
      <c r="A16" s="237">
        <f t="shared" si="1"/>
        <v>11</v>
      </c>
      <c r="B16" s="231" t="s">
        <v>350</v>
      </c>
      <c r="C16" s="231" t="s">
        <v>327</v>
      </c>
      <c r="D16" s="231">
        <v>2000.0</v>
      </c>
      <c r="F16" s="237">
        <f t="shared" si="2"/>
        <v>11</v>
      </c>
      <c r="G16" s="232" t="s">
        <v>352</v>
      </c>
      <c r="H16" s="232" t="s">
        <v>353</v>
      </c>
      <c r="I16" s="234">
        <v>500.0</v>
      </c>
    </row>
    <row r="17">
      <c r="A17" s="237">
        <f t="shared" si="1"/>
        <v>12</v>
      </c>
      <c r="B17" s="231" t="s">
        <v>354</v>
      </c>
      <c r="C17" s="231" t="s">
        <v>244</v>
      </c>
      <c r="D17" s="231">
        <v>3000.0</v>
      </c>
      <c r="F17" s="237">
        <f t="shared" si="2"/>
        <v>12</v>
      </c>
      <c r="G17" s="232" t="s">
        <v>355</v>
      </c>
      <c r="H17" s="232" t="s">
        <v>327</v>
      </c>
      <c r="I17" s="234">
        <v>800.0</v>
      </c>
    </row>
    <row r="18">
      <c r="A18" s="237">
        <f t="shared" si="1"/>
        <v>13</v>
      </c>
      <c r="B18" s="231" t="s">
        <v>357</v>
      </c>
      <c r="C18" s="231" t="s">
        <v>244</v>
      </c>
      <c r="D18" s="231">
        <v>3000.0</v>
      </c>
      <c r="F18" s="237">
        <f t="shared" si="2"/>
        <v>13</v>
      </c>
      <c r="G18" s="232" t="s">
        <v>358</v>
      </c>
      <c r="H18" s="232" t="s">
        <v>314</v>
      </c>
      <c r="I18" s="234">
        <v>500.0</v>
      </c>
    </row>
    <row r="19">
      <c r="A19" s="237">
        <f t="shared" si="1"/>
        <v>14</v>
      </c>
      <c r="B19" s="231" t="s">
        <v>359</v>
      </c>
      <c r="C19" s="231" t="s">
        <v>314</v>
      </c>
      <c r="D19" s="231">
        <v>3000.0</v>
      </c>
      <c r="F19" s="237">
        <f t="shared" si="2"/>
        <v>14</v>
      </c>
      <c r="G19" s="232" t="s">
        <v>360</v>
      </c>
      <c r="H19" s="232" t="s">
        <v>353</v>
      </c>
      <c r="I19" s="234">
        <v>500.0</v>
      </c>
    </row>
    <row r="20">
      <c r="A20" s="237">
        <f t="shared" si="1"/>
        <v>15</v>
      </c>
      <c r="B20" s="231" t="s">
        <v>362</v>
      </c>
      <c r="C20" s="231" t="s">
        <v>327</v>
      </c>
      <c r="D20" s="231">
        <v>2500.0</v>
      </c>
      <c r="F20" s="237">
        <f t="shared" si="2"/>
        <v>15</v>
      </c>
      <c r="G20" s="232" t="s">
        <v>364</v>
      </c>
      <c r="H20" s="233"/>
      <c r="I20" s="238"/>
    </row>
    <row r="21">
      <c r="A21" s="237">
        <f t="shared" si="1"/>
        <v>16</v>
      </c>
      <c r="B21" s="231" t="s">
        <v>365</v>
      </c>
      <c r="C21" s="231" t="s">
        <v>353</v>
      </c>
      <c r="D21" s="231">
        <v>1500.0</v>
      </c>
      <c r="F21" s="237">
        <f t="shared" si="2"/>
        <v>16</v>
      </c>
      <c r="G21" s="232" t="s">
        <v>367</v>
      </c>
      <c r="H21" s="233"/>
      <c r="I21" s="238"/>
    </row>
    <row r="22">
      <c r="A22" s="237">
        <f t="shared" si="1"/>
        <v>17</v>
      </c>
      <c r="B22" s="231" t="s">
        <v>368</v>
      </c>
      <c r="C22" s="231" t="s">
        <v>369</v>
      </c>
      <c r="D22" s="231">
        <v>500.0</v>
      </c>
      <c r="F22" s="237">
        <f t="shared" si="2"/>
        <v>17</v>
      </c>
      <c r="G22" s="232" t="s">
        <v>370</v>
      </c>
      <c r="H22" s="233"/>
      <c r="I22" s="234">
        <v>500.0</v>
      </c>
    </row>
    <row r="23">
      <c r="A23" s="237">
        <f t="shared" si="1"/>
        <v>18</v>
      </c>
      <c r="B23" s="231" t="s">
        <v>371</v>
      </c>
      <c r="C23" s="231" t="s">
        <v>369</v>
      </c>
      <c r="D23" s="231">
        <v>500.0</v>
      </c>
      <c r="F23" s="237">
        <f t="shared" si="2"/>
        <v>18</v>
      </c>
      <c r="G23" s="232" t="s">
        <v>373</v>
      </c>
      <c r="H23" s="233"/>
      <c r="I23" s="234">
        <v>1000.0</v>
      </c>
    </row>
    <row r="24">
      <c r="A24" s="237">
        <f t="shared" si="1"/>
        <v>19</v>
      </c>
      <c r="B24" s="231" t="s">
        <v>374</v>
      </c>
      <c r="C24" s="231" t="s">
        <v>375</v>
      </c>
      <c r="D24" s="231">
        <v>500.0</v>
      </c>
      <c r="F24" s="237">
        <f t="shared" si="2"/>
        <v>19</v>
      </c>
      <c r="G24" s="232" t="s">
        <v>377</v>
      </c>
      <c r="H24" s="233"/>
      <c r="I24" s="234">
        <v>2000.0</v>
      </c>
    </row>
    <row r="25">
      <c r="A25" s="237">
        <f t="shared" si="1"/>
        <v>20</v>
      </c>
      <c r="B25" s="231" t="s">
        <v>378</v>
      </c>
      <c r="C25" s="231" t="s">
        <v>379</v>
      </c>
      <c r="D25" s="231">
        <v>500.0</v>
      </c>
      <c r="F25" s="233"/>
      <c r="G25" s="233"/>
      <c r="H25" s="233"/>
      <c r="I25" s="238"/>
    </row>
    <row r="26">
      <c r="A26" s="237">
        <f t="shared" si="1"/>
        <v>21</v>
      </c>
      <c r="B26" s="231" t="s">
        <v>380</v>
      </c>
      <c r="C26" s="231" t="s">
        <v>382</v>
      </c>
      <c r="D26" s="231">
        <v>500.0</v>
      </c>
      <c r="F26" s="233"/>
      <c r="G26" s="232" t="s">
        <v>383</v>
      </c>
      <c r="H26" s="232"/>
      <c r="I26" s="238">
        <f>SUM(I6:I25)</f>
        <v>12900</v>
      </c>
    </row>
    <row r="27">
      <c r="A27" s="237">
        <f t="shared" si="1"/>
        <v>22</v>
      </c>
      <c r="B27" s="231" t="s">
        <v>385</v>
      </c>
      <c r="C27" s="231" t="s">
        <v>382</v>
      </c>
      <c r="D27" s="231">
        <v>500.0</v>
      </c>
    </row>
    <row r="28">
      <c r="A28" s="237">
        <f t="shared" si="1"/>
        <v>23</v>
      </c>
      <c r="B28" s="231" t="s">
        <v>387</v>
      </c>
      <c r="C28" s="231" t="s">
        <v>382</v>
      </c>
      <c r="D28" s="231">
        <v>500.0</v>
      </c>
    </row>
    <row r="29">
      <c r="A29" s="237">
        <f t="shared" si="1"/>
        <v>24</v>
      </c>
      <c r="B29" s="231" t="s">
        <v>388</v>
      </c>
      <c r="C29" s="231" t="s">
        <v>389</v>
      </c>
      <c r="D29" s="231">
        <v>500.0</v>
      </c>
      <c r="G29" s="239" t="s">
        <v>391</v>
      </c>
    </row>
    <row r="30">
      <c r="A30" s="237">
        <f t="shared" si="1"/>
        <v>25</v>
      </c>
      <c r="B30" s="231" t="s">
        <v>392</v>
      </c>
      <c r="C30" s="231" t="s">
        <v>369</v>
      </c>
      <c r="D30" s="231">
        <v>500.0</v>
      </c>
      <c r="G30" s="240" t="s">
        <v>394</v>
      </c>
      <c r="H30" s="241">
        <f>D44</f>
        <v>64500</v>
      </c>
    </row>
    <row r="31">
      <c r="A31" s="237">
        <f t="shared" si="1"/>
        <v>26</v>
      </c>
      <c r="B31" s="231" t="s">
        <v>396</v>
      </c>
      <c r="C31" s="231" t="s">
        <v>382</v>
      </c>
      <c r="D31" s="231">
        <v>500.0</v>
      </c>
      <c r="G31" s="240" t="s">
        <v>397</v>
      </c>
      <c r="H31" s="241">
        <f>I26</f>
        <v>12900</v>
      </c>
    </row>
    <row r="32">
      <c r="A32" s="237">
        <f t="shared" si="1"/>
        <v>27</v>
      </c>
      <c r="B32" s="231" t="s">
        <v>399</v>
      </c>
      <c r="C32" s="231" t="s">
        <v>382</v>
      </c>
      <c r="D32" s="231">
        <v>500.0</v>
      </c>
      <c r="G32" s="241"/>
      <c r="H32" s="241"/>
    </row>
    <row r="33">
      <c r="A33" s="237">
        <f t="shared" si="1"/>
        <v>28</v>
      </c>
      <c r="B33" s="231" t="s">
        <v>400</v>
      </c>
      <c r="C33" s="231" t="s">
        <v>382</v>
      </c>
      <c r="D33" s="231">
        <v>500.0</v>
      </c>
      <c r="G33" s="240" t="s">
        <v>402</v>
      </c>
      <c r="H33" s="242">
        <f>H30+H31</f>
        <v>77400</v>
      </c>
    </row>
    <row r="34">
      <c r="A34" s="237">
        <f t="shared" si="1"/>
        <v>29</v>
      </c>
      <c r="B34" s="231" t="s">
        <v>404</v>
      </c>
      <c r="C34" s="231" t="s">
        <v>369</v>
      </c>
      <c r="D34" s="231">
        <v>500.0</v>
      </c>
    </row>
    <row r="35">
      <c r="A35" s="237">
        <f t="shared" si="1"/>
        <v>30</v>
      </c>
      <c r="B35" s="231" t="s">
        <v>406</v>
      </c>
      <c r="C35" s="231" t="s">
        <v>369</v>
      </c>
      <c r="D35" s="231">
        <v>500.0</v>
      </c>
    </row>
    <row r="36">
      <c r="A36" s="237">
        <f t="shared" si="1"/>
        <v>31</v>
      </c>
      <c r="B36" s="231" t="s">
        <v>407</v>
      </c>
      <c r="C36" s="231" t="s">
        <v>369</v>
      </c>
      <c r="D36" s="231">
        <v>500.0</v>
      </c>
    </row>
    <row r="37">
      <c r="A37" s="237">
        <f t="shared" si="1"/>
        <v>32</v>
      </c>
      <c r="B37" s="231" t="s">
        <v>409</v>
      </c>
      <c r="C37" s="231" t="s">
        <v>389</v>
      </c>
      <c r="D37" s="231">
        <v>500.0</v>
      </c>
    </row>
    <row r="38">
      <c r="A38" s="237">
        <f t="shared" si="1"/>
        <v>33</v>
      </c>
      <c r="B38" s="231" t="s">
        <v>410</v>
      </c>
      <c r="C38" s="231" t="s">
        <v>353</v>
      </c>
      <c r="D38" s="231">
        <v>1500.0</v>
      </c>
    </row>
    <row r="39">
      <c r="A39" s="237">
        <f t="shared" si="1"/>
        <v>34</v>
      </c>
      <c r="B39" s="231" t="s">
        <v>412</v>
      </c>
      <c r="C39" s="231" t="s">
        <v>353</v>
      </c>
      <c r="D39" s="231">
        <v>1500.0</v>
      </c>
    </row>
    <row r="40">
      <c r="A40" s="237">
        <f t="shared" si="1"/>
        <v>35</v>
      </c>
      <c r="B40" s="231" t="s">
        <v>413</v>
      </c>
      <c r="C40" s="231" t="s">
        <v>353</v>
      </c>
      <c r="D40" s="231">
        <v>1500.0</v>
      </c>
    </row>
    <row r="41">
      <c r="A41" s="237">
        <f t="shared" si="1"/>
        <v>36</v>
      </c>
      <c r="B41" s="231" t="s">
        <v>415</v>
      </c>
      <c r="C41" s="231" t="s">
        <v>369</v>
      </c>
      <c r="D41" s="231">
        <v>500.0</v>
      </c>
    </row>
    <row r="42">
      <c r="A42" s="237">
        <f t="shared" si="1"/>
        <v>37</v>
      </c>
      <c r="B42" s="231" t="s">
        <v>416</v>
      </c>
      <c r="C42" s="231" t="s">
        <v>369</v>
      </c>
      <c r="D42" s="231">
        <v>500.0</v>
      </c>
    </row>
    <row r="43">
      <c r="A43" s="244"/>
      <c r="B43" s="244"/>
      <c r="C43" s="244"/>
      <c r="D43" s="244"/>
    </row>
    <row r="44">
      <c r="A44" s="245"/>
      <c r="B44" s="246" t="s">
        <v>420</v>
      </c>
      <c r="C44" s="246"/>
      <c r="D44" s="245">
        <f>SUM(D6:D43)</f>
        <v>64500</v>
      </c>
    </row>
    <row r="45">
      <c r="A45" s="247"/>
      <c r="B45" s="247"/>
      <c r="C45" s="247"/>
      <c r="D45" s="247"/>
    </row>
    <row r="46">
      <c r="A46" s="247"/>
      <c r="B46" s="247"/>
      <c r="C46" s="247"/>
      <c r="D46" s="247"/>
    </row>
    <row r="47">
      <c r="A47" s="247"/>
      <c r="B47" s="247"/>
      <c r="C47" s="247"/>
      <c r="D47" s="247"/>
    </row>
    <row r="48">
      <c r="A48" s="247"/>
      <c r="B48" s="247"/>
      <c r="C48" s="247"/>
      <c r="D48" s="247"/>
    </row>
    <row r="49">
      <c r="A49" s="247"/>
      <c r="B49" s="247"/>
      <c r="C49" s="247"/>
      <c r="D49" s="247"/>
    </row>
    <row r="50">
      <c r="A50" s="247"/>
      <c r="B50" s="247"/>
      <c r="C50" s="247"/>
      <c r="D50" s="247"/>
    </row>
    <row r="51">
      <c r="A51" s="247"/>
      <c r="B51" s="247"/>
      <c r="C51" s="247"/>
      <c r="D51" s="247"/>
    </row>
    <row r="52">
      <c r="A52" s="247"/>
      <c r="B52" s="247"/>
      <c r="C52" s="247"/>
      <c r="D52" s="247"/>
    </row>
    <row r="53">
      <c r="A53" s="247"/>
      <c r="B53" s="247"/>
      <c r="C53" s="247"/>
      <c r="D53" s="247"/>
    </row>
    <row r="54">
      <c r="A54" s="247"/>
      <c r="B54" s="247"/>
      <c r="C54" s="247"/>
      <c r="D54" s="247"/>
    </row>
    <row r="55">
      <c r="A55" s="247"/>
      <c r="B55" s="247"/>
      <c r="C55" s="247"/>
      <c r="D55" s="247"/>
    </row>
    <row r="56">
      <c r="A56" s="247"/>
      <c r="B56" s="247"/>
      <c r="C56" s="247"/>
      <c r="D56" s="247"/>
    </row>
    <row r="57">
      <c r="A57" s="247"/>
      <c r="B57" s="247"/>
      <c r="C57" s="247"/>
      <c r="D57" s="247"/>
    </row>
  </sheetData>
  <mergeCells count="3">
    <mergeCell ref="A4:D4"/>
    <mergeCell ref="F4:I4"/>
    <mergeCell ref="G29:H29"/>
  </mergeCells>
  <hyperlinks>
    <hyperlink r:id="rId1" ref="A5"/>
    <hyperlink r:id="rId2" ref="F5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6.13"/>
    <col customWidth="1" min="4" max="4" width="16.75"/>
    <col customWidth="1" min="7" max="7" width="17.5"/>
  </cols>
  <sheetData>
    <row r="1">
      <c r="A1" s="240" t="s">
        <v>492</v>
      </c>
      <c r="B1" s="240" t="s">
        <v>493</v>
      </c>
      <c r="C1" s="240" t="s">
        <v>494</v>
      </c>
    </row>
    <row r="2">
      <c r="A2" s="261" t="str">
        <f t="array" ref="A2:A17">UNIQUE('TLS VEHICLES '!C3:C18)</f>
        <v>TN 69 BC 9010</v>
      </c>
      <c r="B2" s="2" t="s">
        <v>495</v>
      </c>
      <c r="C2" s="2" t="s">
        <v>496</v>
      </c>
      <c r="D2" s="2" t="s">
        <v>497</v>
      </c>
      <c r="E2" s="2" t="s">
        <v>228</v>
      </c>
      <c r="F2" s="2" t="s">
        <v>498</v>
      </c>
      <c r="G2" s="2" t="s">
        <v>499</v>
      </c>
      <c r="H2" s="2" t="s">
        <v>5</v>
      </c>
      <c r="I2" s="259" t="s">
        <v>500</v>
      </c>
    </row>
    <row r="3">
      <c r="A3" s="261" t="s">
        <v>104</v>
      </c>
      <c r="B3" s="2" t="s">
        <v>501</v>
      </c>
      <c r="C3" s="2" t="s">
        <v>502</v>
      </c>
      <c r="D3" s="2" t="s">
        <v>503</v>
      </c>
      <c r="E3" s="2" t="s">
        <v>504</v>
      </c>
      <c r="F3" s="2" t="s">
        <v>505</v>
      </c>
      <c r="G3" s="2" t="s">
        <v>506</v>
      </c>
      <c r="H3" s="2" t="s">
        <v>507</v>
      </c>
      <c r="I3" s="259" t="s">
        <v>508</v>
      </c>
    </row>
    <row r="4">
      <c r="A4" s="261" t="s">
        <v>121</v>
      </c>
      <c r="B4" s="2" t="s">
        <v>509</v>
      </c>
      <c r="C4" s="2" t="s">
        <v>510</v>
      </c>
      <c r="D4" s="2" t="s">
        <v>511</v>
      </c>
      <c r="E4" s="2" t="s">
        <v>512</v>
      </c>
      <c r="G4" s="2" t="s">
        <v>513</v>
      </c>
      <c r="H4" s="2" t="s">
        <v>514</v>
      </c>
      <c r="I4" s="262">
        <v>0.0</v>
      </c>
    </row>
    <row r="5">
      <c r="A5" s="261" t="s">
        <v>120</v>
      </c>
      <c r="C5" s="2" t="s">
        <v>515</v>
      </c>
      <c r="D5" s="2" t="s">
        <v>516</v>
      </c>
      <c r="E5" s="2" t="s">
        <v>517</v>
      </c>
      <c r="G5" s="2" t="s">
        <v>518</v>
      </c>
      <c r="I5" s="263" t="s">
        <v>519</v>
      </c>
    </row>
    <row r="6">
      <c r="A6" s="261" t="s">
        <v>136</v>
      </c>
      <c r="C6" s="2" t="s">
        <v>520</v>
      </c>
      <c r="D6" s="2" t="s">
        <v>521</v>
      </c>
      <c r="G6" s="2" t="s">
        <v>522</v>
      </c>
      <c r="I6" s="2" t="s">
        <v>228</v>
      </c>
    </row>
    <row r="7">
      <c r="A7" s="261" t="s">
        <v>143</v>
      </c>
      <c r="C7" s="2" t="s">
        <v>523</v>
      </c>
      <c r="D7" s="2" t="s">
        <v>524</v>
      </c>
      <c r="G7" s="2" t="s">
        <v>525</v>
      </c>
      <c r="I7" s="2" t="s">
        <v>504</v>
      </c>
    </row>
    <row r="8">
      <c r="A8" s="261" t="s">
        <v>155</v>
      </c>
      <c r="C8" s="2" t="s">
        <v>526</v>
      </c>
      <c r="D8" s="2" t="s">
        <v>527</v>
      </c>
      <c r="G8" s="2" t="s">
        <v>528</v>
      </c>
      <c r="I8" s="2" t="s">
        <v>512</v>
      </c>
    </row>
    <row r="9">
      <c r="A9" s="261" t="s">
        <v>159</v>
      </c>
      <c r="C9" s="2" t="s">
        <v>529</v>
      </c>
      <c r="D9" s="2" t="s">
        <v>530</v>
      </c>
      <c r="G9" s="2" t="s">
        <v>531</v>
      </c>
      <c r="I9" s="2" t="s">
        <v>517</v>
      </c>
    </row>
    <row r="10">
      <c r="A10" s="261" t="s">
        <v>160</v>
      </c>
      <c r="C10" s="2" t="s">
        <v>532</v>
      </c>
      <c r="D10" s="2" t="s">
        <v>533</v>
      </c>
      <c r="I10" s="2" t="s">
        <v>534</v>
      </c>
    </row>
    <row r="11">
      <c r="A11" s="261" t="s">
        <v>93</v>
      </c>
      <c r="C11" s="2" t="s">
        <v>535</v>
      </c>
      <c r="D11" s="2" t="s">
        <v>536</v>
      </c>
      <c r="F11" s="2"/>
    </row>
    <row r="12">
      <c r="A12" s="261" t="s">
        <v>147</v>
      </c>
      <c r="C12" s="2" t="s">
        <v>537</v>
      </c>
      <c r="D12" s="2" t="s">
        <v>538</v>
      </c>
    </row>
    <row r="13">
      <c r="A13" s="261" t="s">
        <v>132</v>
      </c>
      <c r="C13" s="2" t="s">
        <v>539</v>
      </c>
      <c r="D13" s="2" t="s">
        <v>540</v>
      </c>
    </row>
    <row r="14">
      <c r="A14" s="261" t="s">
        <v>208</v>
      </c>
      <c r="C14" s="2" t="s">
        <v>541</v>
      </c>
      <c r="D14" s="2" t="s">
        <v>542</v>
      </c>
    </row>
    <row r="15">
      <c r="A15" s="261" t="s">
        <v>168</v>
      </c>
      <c r="C15" s="2" t="s">
        <v>543</v>
      </c>
      <c r="D15" s="2" t="s">
        <v>544</v>
      </c>
    </row>
    <row r="16">
      <c r="A16" s="261" t="s">
        <v>181</v>
      </c>
    </row>
    <row r="17">
      <c r="A17" s="261" t="s">
        <v>187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10.38"/>
    <col customWidth="1" min="3" max="3" width="16.38"/>
    <col customWidth="1" min="4" max="4" width="9.63"/>
    <col customWidth="1" min="5" max="5" width="7.63"/>
    <col customWidth="1" min="6" max="6" width="6.13"/>
    <col customWidth="1" min="7" max="7" width="14.63"/>
    <col customWidth="1" min="8" max="8" width="12.25"/>
    <col customWidth="1" min="9" max="9" width="18.88"/>
    <col customWidth="1" min="10" max="10" width="22.38"/>
    <col customWidth="1" min="11" max="11" width="12.25"/>
    <col customWidth="1" min="12" max="12" width="17.0"/>
    <col customWidth="1" min="13" max="13" width="7.13"/>
    <col customWidth="1" min="14" max="14" width="14.63"/>
    <col customWidth="1" min="15" max="15" width="15.75"/>
  </cols>
  <sheetData>
    <row r="1">
      <c r="A1" s="276" t="s">
        <v>546</v>
      </c>
      <c r="B1" s="277" t="s">
        <v>547</v>
      </c>
      <c r="C1" s="277" t="s">
        <v>29</v>
      </c>
      <c r="D1" s="276" t="s">
        <v>548</v>
      </c>
      <c r="E1" s="276" t="s">
        <v>549</v>
      </c>
      <c r="F1" s="276" t="s">
        <v>550</v>
      </c>
      <c r="G1" s="278" t="s">
        <v>551</v>
      </c>
      <c r="J1" s="279" t="s">
        <v>552</v>
      </c>
      <c r="M1" s="280" t="s">
        <v>553</v>
      </c>
      <c r="N1" s="280" t="s">
        <v>554</v>
      </c>
      <c r="O1" s="280" t="s">
        <v>555</v>
      </c>
    </row>
    <row r="2">
      <c r="A2" s="282"/>
      <c r="B2" s="283"/>
      <c r="C2" s="283"/>
      <c r="D2" s="282"/>
      <c r="E2" s="282"/>
      <c r="F2" s="282"/>
      <c r="G2" s="284" t="s">
        <v>556</v>
      </c>
      <c r="H2" s="284" t="s">
        <v>557</v>
      </c>
      <c r="I2" s="284" t="s">
        <v>494</v>
      </c>
      <c r="J2" s="285" t="s">
        <v>556</v>
      </c>
      <c r="K2" s="285" t="s">
        <v>557</v>
      </c>
      <c r="L2" s="285" t="s">
        <v>494</v>
      </c>
      <c r="M2" s="286"/>
      <c r="N2" s="286"/>
      <c r="O2" s="286"/>
    </row>
    <row r="3">
      <c r="A3" s="287">
        <f t="shared" ref="A3:A32" si="1">row()-2</f>
        <v>1</v>
      </c>
      <c r="B3" s="288">
        <v>45721.0</v>
      </c>
      <c r="C3" s="287" t="s">
        <v>57</v>
      </c>
      <c r="D3" s="287" t="s">
        <v>495</v>
      </c>
      <c r="E3" s="287" t="s">
        <v>558</v>
      </c>
      <c r="F3" s="287" t="s">
        <v>559</v>
      </c>
      <c r="G3" s="287"/>
      <c r="H3" s="287">
        <v>7.0554150825E10</v>
      </c>
      <c r="I3" s="287" t="s">
        <v>526</v>
      </c>
      <c r="J3" s="287"/>
      <c r="K3" s="287">
        <v>7.0549620825E10</v>
      </c>
      <c r="L3" s="287" t="s">
        <v>529</v>
      </c>
      <c r="M3" s="287">
        <v>630188.0</v>
      </c>
      <c r="N3" s="292"/>
      <c r="O3" s="287" t="s">
        <v>560</v>
      </c>
    </row>
    <row r="4">
      <c r="A4" s="287">
        <f t="shared" si="1"/>
        <v>2</v>
      </c>
      <c r="B4" s="288">
        <v>45720.0</v>
      </c>
      <c r="C4" s="287" t="s">
        <v>136</v>
      </c>
      <c r="D4" s="287" t="s">
        <v>495</v>
      </c>
      <c r="E4" s="287" t="s">
        <v>558</v>
      </c>
      <c r="F4" s="287" t="s">
        <v>562</v>
      </c>
      <c r="G4" s="287"/>
      <c r="H4" s="287">
        <v>7.0603740825E10</v>
      </c>
      <c r="I4" s="287"/>
      <c r="J4" s="287"/>
      <c r="K4" s="287" t="s">
        <v>564</v>
      </c>
      <c r="L4" s="287"/>
      <c r="M4" s="287">
        <v>722129.0</v>
      </c>
      <c r="N4" s="292"/>
      <c r="O4" s="287" t="s">
        <v>560</v>
      </c>
    </row>
    <row r="5">
      <c r="A5" s="287">
        <f t="shared" si="1"/>
        <v>3</v>
      </c>
      <c r="B5" s="288">
        <v>45725.0</v>
      </c>
      <c r="C5" s="287" t="s">
        <v>147</v>
      </c>
      <c r="D5" s="287" t="s">
        <v>495</v>
      </c>
      <c r="E5" s="287" t="s">
        <v>558</v>
      </c>
      <c r="F5" s="287" t="s">
        <v>559</v>
      </c>
      <c r="G5" s="287"/>
      <c r="H5" s="287">
        <v>7.0640700925E10</v>
      </c>
      <c r="I5" s="287"/>
      <c r="J5" s="287"/>
      <c r="K5" s="287">
        <v>7.0686590925E10</v>
      </c>
      <c r="L5" s="287"/>
      <c r="M5" s="287">
        <v>812185.0</v>
      </c>
      <c r="N5" s="292"/>
      <c r="O5" s="287" t="s">
        <v>560</v>
      </c>
    </row>
    <row r="6">
      <c r="A6" s="287">
        <f t="shared" si="1"/>
        <v>4</v>
      </c>
      <c r="B6" s="288">
        <v>45725.0</v>
      </c>
      <c r="C6" s="287" t="s">
        <v>147</v>
      </c>
      <c r="D6" s="287" t="s">
        <v>495</v>
      </c>
      <c r="E6" s="287" t="s">
        <v>558</v>
      </c>
      <c r="F6" s="287" t="s">
        <v>559</v>
      </c>
      <c r="G6" s="287"/>
      <c r="H6" s="287">
        <v>7.0827290825E10</v>
      </c>
      <c r="I6" s="287"/>
      <c r="J6" s="287"/>
      <c r="K6" s="287">
        <v>7.0650370925E10</v>
      </c>
      <c r="L6" s="287"/>
      <c r="M6" s="287">
        <v>812185.0</v>
      </c>
      <c r="N6" s="292"/>
      <c r="O6" s="287" t="s">
        <v>560</v>
      </c>
    </row>
    <row r="7">
      <c r="A7" s="287">
        <f t="shared" si="1"/>
        <v>5</v>
      </c>
      <c r="B7" s="288">
        <v>45726.0</v>
      </c>
      <c r="C7" s="287" t="s">
        <v>159</v>
      </c>
      <c r="D7" s="287" t="s">
        <v>495</v>
      </c>
      <c r="E7" s="287" t="s">
        <v>558</v>
      </c>
      <c r="F7" s="287" t="s">
        <v>559</v>
      </c>
      <c r="G7" s="287"/>
      <c r="H7" s="287">
        <v>7.0557540825E10</v>
      </c>
      <c r="I7" s="287"/>
      <c r="J7" s="287"/>
      <c r="K7" s="287">
        <v>7.0219360825E10</v>
      </c>
      <c r="L7" s="287"/>
      <c r="M7" s="292"/>
      <c r="N7" s="292"/>
      <c r="O7" s="287" t="s">
        <v>560</v>
      </c>
    </row>
    <row r="8">
      <c r="A8" s="287">
        <f t="shared" si="1"/>
        <v>6</v>
      </c>
      <c r="B8" s="288">
        <v>45729.0</v>
      </c>
      <c r="C8" s="287" t="s">
        <v>93</v>
      </c>
      <c r="D8" s="287" t="s">
        <v>495</v>
      </c>
      <c r="E8" s="287" t="s">
        <v>558</v>
      </c>
      <c r="F8" s="287" t="s">
        <v>559</v>
      </c>
      <c r="G8" s="287"/>
      <c r="H8" s="287">
        <v>7.0842815124E10</v>
      </c>
      <c r="I8" s="287"/>
      <c r="J8" s="287"/>
      <c r="K8" s="287">
        <v>7.0634410325E10</v>
      </c>
      <c r="L8" s="287"/>
      <c r="M8" s="287">
        <v>745600.0</v>
      </c>
      <c r="N8" s="292"/>
      <c r="O8" s="287" t="s">
        <v>560</v>
      </c>
    </row>
    <row r="9">
      <c r="A9" s="287">
        <f t="shared" si="1"/>
        <v>7</v>
      </c>
      <c r="B9" s="288">
        <v>45729.0</v>
      </c>
      <c r="C9" s="287" t="s">
        <v>120</v>
      </c>
      <c r="D9" s="287" t="s">
        <v>495</v>
      </c>
      <c r="E9" s="287" t="s">
        <v>574</v>
      </c>
      <c r="F9" s="287" t="s">
        <v>559</v>
      </c>
      <c r="G9" s="287"/>
      <c r="H9" s="287">
        <v>7.0126111025E10</v>
      </c>
      <c r="I9" s="287"/>
      <c r="J9" s="287"/>
      <c r="K9" s="287">
        <v>7.0556310825E10</v>
      </c>
      <c r="L9" s="287"/>
      <c r="M9" s="287">
        <v>681506.0</v>
      </c>
      <c r="N9" s="292"/>
      <c r="O9" s="287" t="s">
        <v>560</v>
      </c>
    </row>
    <row r="10">
      <c r="A10" s="287">
        <f t="shared" si="1"/>
        <v>8</v>
      </c>
      <c r="B10" s="288">
        <v>45730.0</v>
      </c>
      <c r="C10" s="287" t="s">
        <v>160</v>
      </c>
      <c r="D10" s="287" t="s">
        <v>495</v>
      </c>
      <c r="E10" s="287" t="s">
        <v>558</v>
      </c>
      <c r="F10" s="287" t="s">
        <v>559</v>
      </c>
      <c r="G10" s="287"/>
      <c r="H10" s="287">
        <v>7.0842985124E10</v>
      </c>
      <c r="I10" s="287"/>
      <c r="J10" s="287"/>
      <c r="K10" s="287">
        <v>7.0222270225E10</v>
      </c>
      <c r="L10" s="287"/>
      <c r="M10" s="292"/>
      <c r="N10" s="292"/>
      <c r="O10" s="287" t="s">
        <v>560</v>
      </c>
    </row>
    <row r="11">
      <c r="A11" s="287">
        <f t="shared" si="1"/>
        <v>9</v>
      </c>
      <c r="B11" s="303">
        <v>45734.0</v>
      </c>
      <c r="C11" s="292" t="s">
        <v>121</v>
      </c>
      <c r="D11" s="287" t="s">
        <v>495</v>
      </c>
      <c r="E11" s="287" t="s">
        <v>497</v>
      </c>
      <c r="F11" s="287" t="s">
        <v>559</v>
      </c>
      <c r="G11" s="292"/>
      <c r="H11" s="292">
        <v>7.0789233024E10</v>
      </c>
      <c r="I11" s="292"/>
      <c r="J11" s="292"/>
      <c r="K11" s="292">
        <v>7.0755003024E10</v>
      </c>
      <c r="L11" s="287"/>
      <c r="M11" s="292">
        <v>11029.0</v>
      </c>
      <c r="N11" s="292"/>
      <c r="O11" s="292" t="s">
        <v>560</v>
      </c>
    </row>
    <row r="12">
      <c r="A12" s="287">
        <f t="shared" si="1"/>
        <v>10</v>
      </c>
      <c r="B12" s="303">
        <v>45734.0</v>
      </c>
      <c r="C12" s="292" t="s">
        <v>121</v>
      </c>
      <c r="D12" s="287" t="s">
        <v>495</v>
      </c>
      <c r="E12" s="287" t="s">
        <v>558</v>
      </c>
      <c r="F12" s="287" t="s">
        <v>559</v>
      </c>
      <c r="G12" s="292"/>
      <c r="H12" s="292">
        <v>7.0562290825E10</v>
      </c>
      <c r="I12" s="292"/>
      <c r="J12" s="292"/>
      <c r="K12" s="292">
        <v>7.0877225124E10</v>
      </c>
      <c r="L12" s="287"/>
      <c r="M12" s="287">
        <v>11029.0</v>
      </c>
      <c r="N12" s="292"/>
      <c r="O12" s="292" t="s">
        <v>560</v>
      </c>
    </row>
    <row r="13">
      <c r="A13" s="287">
        <f t="shared" si="1"/>
        <v>11</v>
      </c>
      <c r="B13" s="288">
        <v>45735.0</v>
      </c>
      <c r="C13" s="287" t="s">
        <v>136</v>
      </c>
      <c r="D13" s="287" t="s">
        <v>495</v>
      </c>
      <c r="E13" s="287" t="s">
        <v>558</v>
      </c>
      <c r="F13" s="287" t="s">
        <v>559</v>
      </c>
      <c r="G13" s="287"/>
      <c r="H13" s="287">
        <v>7.0604800825E10</v>
      </c>
      <c r="I13" s="287"/>
      <c r="J13" s="287"/>
      <c r="K13" s="287">
        <v>7.0547210825E10</v>
      </c>
      <c r="L13" s="287"/>
      <c r="M13" s="287">
        <v>726801.0</v>
      </c>
      <c r="N13" s="292"/>
      <c r="O13" s="292" t="s">
        <v>560</v>
      </c>
    </row>
    <row r="14">
      <c r="A14" s="287">
        <f t="shared" si="1"/>
        <v>12</v>
      </c>
      <c r="B14" s="288">
        <v>45737.0</v>
      </c>
      <c r="C14" s="287" t="s">
        <v>120</v>
      </c>
      <c r="D14" s="287" t="s">
        <v>495</v>
      </c>
      <c r="E14" s="287" t="s">
        <v>558</v>
      </c>
      <c r="F14" s="287" t="s">
        <v>559</v>
      </c>
      <c r="G14" s="287"/>
      <c r="H14" s="287">
        <v>7.0916220825E10</v>
      </c>
      <c r="I14" s="287"/>
      <c r="J14" s="287"/>
      <c r="K14" s="287">
        <v>7.0827731125E10</v>
      </c>
      <c r="L14" s="287"/>
      <c r="M14" s="287">
        <v>684037.0</v>
      </c>
      <c r="N14" s="287" t="s">
        <v>582</v>
      </c>
      <c r="O14" s="287" t="s">
        <v>560</v>
      </c>
    </row>
    <row r="15">
      <c r="A15" s="287">
        <f t="shared" si="1"/>
        <v>13</v>
      </c>
      <c r="B15" s="288">
        <v>45737.0</v>
      </c>
      <c r="C15" s="287" t="s">
        <v>104</v>
      </c>
      <c r="D15" s="287" t="s">
        <v>495</v>
      </c>
      <c r="E15" s="287" t="s">
        <v>497</v>
      </c>
      <c r="F15" s="287" t="s">
        <v>559</v>
      </c>
      <c r="G15" s="287"/>
      <c r="H15" s="287">
        <v>7.0467831125E10</v>
      </c>
      <c r="I15" s="287"/>
      <c r="J15" s="287"/>
      <c r="K15" s="287">
        <v>7.0413970825E10</v>
      </c>
      <c r="L15" s="287"/>
      <c r="M15" s="287">
        <v>422842.0</v>
      </c>
      <c r="N15" s="292"/>
      <c r="O15" s="292" t="s">
        <v>560</v>
      </c>
    </row>
    <row r="16">
      <c r="A16" s="287">
        <f t="shared" si="1"/>
        <v>14</v>
      </c>
      <c r="B16" s="288">
        <v>45737.0</v>
      </c>
      <c r="C16" s="287" t="s">
        <v>93</v>
      </c>
      <c r="D16" s="287" t="s">
        <v>495</v>
      </c>
      <c r="E16" s="287" t="s">
        <v>558</v>
      </c>
      <c r="F16" s="287" t="s">
        <v>559</v>
      </c>
      <c r="G16" s="287"/>
      <c r="H16" s="287">
        <v>7.0817401125E10</v>
      </c>
      <c r="I16" s="287"/>
      <c r="J16" s="287"/>
      <c r="K16" s="287">
        <v>7.083319125E9</v>
      </c>
      <c r="L16" s="287"/>
      <c r="M16" s="287">
        <v>748372.0</v>
      </c>
      <c r="N16" s="287" t="s">
        <v>583</v>
      </c>
      <c r="O16" s="287" t="s">
        <v>560</v>
      </c>
    </row>
    <row r="17">
      <c r="A17" s="287">
        <f t="shared" si="1"/>
        <v>15</v>
      </c>
      <c r="B17" s="288">
        <v>45737.0</v>
      </c>
      <c r="C17" s="287" t="s">
        <v>93</v>
      </c>
      <c r="D17" s="287" t="s">
        <v>495</v>
      </c>
      <c r="E17" s="287" t="s">
        <v>497</v>
      </c>
      <c r="F17" s="287" t="s">
        <v>559</v>
      </c>
      <c r="G17" s="287"/>
      <c r="H17" s="287">
        <v>7.0432851125E10</v>
      </c>
      <c r="I17" s="287"/>
      <c r="J17" s="287"/>
      <c r="K17" s="287">
        <v>7.0603961125E10</v>
      </c>
      <c r="L17" s="287"/>
      <c r="M17" s="287">
        <v>748372.0</v>
      </c>
      <c r="N17" s="287" t="s">
        <v>583</v>
      </c>
      <c r="O17" s="287" t="s">
        <v>560</v>
      </c>
    </row>
    <row r="18">
      <c r="A18" s="287">
        <f t="shared" si="1"/>
        <v>16</v>
      </c>
      <c r="B18" s="288">
        <v>45739.0</v>
      </c>
      <c r="C18" s="287" t="s">
        <v>168</v>
      </c>
      <c r="D18" s="287" t="s">
        <v>495</v>
      </c>
      <c r="E18" s="287" t="s">
        <v>497</v>
      </c>
      <c r="F18" s="287" t="s">
        <v>559</v>
      </c>
      <c r="G18" s="287"/>
      <c r="H18" s="287">
        <v>7.0293970625E10</v>
      </c>
      <c r="I18" s="287"/>
      <c r="J18" s="287"/>
      <c r="K18" s="287">
        <v>7.0337330625E10</v>
      </c>
      <c r="L18" s="287"/>
      <c r="M18" s="292"/>
      <c r="N18" s="287"/>
      <c r="O18" s="287" t="s">
        <v>560</v>
      </c>
    </row>
    <row r="19">
      <c r="A19" s="287">
        <f t="shared" si="1"/>
        <v>17</v>
      </c>
      <c r="B19" s="288">
        <v>45739.0</v>
      </c>
      <c r="C19" s="287" t="s">
        <v>121</v>
      </c>
      <c r="D19" s="287" t="s">
        <v>495</v>
      </c>
      <c r="E19" s="287" t="s">
        <v>558</v>
      </c>
      <c r="F19" s="287" t="s">
        <v>559</v>
      </c>
      <c r="G19" s="287"/>
      <c r="H19" s="287">
        <v>7.0787001125E10</v>
      </c>
      <c r="I19" s="287"/>
      <c r="J19" s="287"/>
      <c r="K19" s="287">
        <v>7.0787841125E10</v>
      </c>
      <c r="L19" s="287"/>
      <c r="M19" s="292"/>
      <c r="N19" s="287" t="s">
        <v>584</v>
      </c>
      <c r="O19" s="287" t="s">
        <v>560</v>
      </c>
    </row>
    <row r="20">
      <c r="A20" s="287">
        <f t="shared" si="1"/>
        <v>18</v>
      </c>
      <c r="B20" s="288">
        <v>45742.0</v>
      </c>
      <c r="C20" s="287" t="s">
        <v>208</v>
      </c>
      <c r="D20" s="287" t="s">
        <v>495</v>
      </c>
      <c r="E20" s="287" t="s">
        <v>558</v>
      </c>
      <c r="F20" s="287" t="s">
        <v>559</v>
      </c>
      <c r="G20" s="287"/>
      <c r="H20" s="287">
        <v>7.0246810925E10</v>
      </c>
      <c r="I20" s="287"/>
      <c r="J20" s="287"/>
      <c r="K20" s="287">
        <v>7.0292100925E10</v>
      </c>
      <c r="L20" s="287"/>
      <c r="M20" s="307"/>
      <c r="N20" s="287" t="s">
        <v>585</v>
      </c>
      <c r="O20" s="287" t="s">
        <v>560</v>
      </c>
    </row>
    <row r="21">
      <c r="A21" s="287">
        <f t="shared" si="1"/>
        <v>19</v>
      </c>
      <c r="B21" s="288">
        <v>45742.0</v>
      </c>
      <c r="C21" s="287" t="s">
        <v>104</v>
      </c>
      <c r="D21" s="287" t="s">
        <v>495</v>
      </c>
      <c r="E21" s="287" t="s">
        <v>558</v>
      </c>
      <c r="F21" s="287" t="s">
        <v>559</v>
      </c>
      <c r="G21" s="287"/>
      <c r="H21" s="287">
        <v>7.0588350825E10</v>
      </c>
      <c r="I21" s="287"/>
      <c r="J21" s="287"/>
      <c r="K21" s="287">
        <v>7.0468031225E10</v>
      </c>
      <c r="L21" s="287"/>
      <c r="M21" s="287">
        <v>424210.0</v>
      </c>
      <c r="N21" s="287" t="s">
        <v>588</v>
      </c>
      <c r="O21" s="287" t="s">
        <v>560</v>
      </c>
    </row>
    <row r="22">
      <c r="A22" s="287">
        <f t="shared" si="1"/>
        <v>20</v>
      </c>
      <c r="B22" s="288">
        <v>45743.0</v>
      </c>
      <c r="C22" s="287" t="s">
        <v>57</v>
      </c>
      <c r="D22" s="287" t="s">
        <v>495</v>
      </c>
      <c r="E22" s="287" t="s">
        <v>497</v>
      </c>
      <c r="F22" s="287" t="s">
        <v>559</v>
      </c>
      <c r="G22" s="287"/>
      <c r="H22" s="287">
        <v>7.0477131225E10</v>
      </c>
      <c r="I22" s="287"/>
      <c r="J22" s="287"/>
      <c r="K22" s="287">
        <v>7.0435391225E10</v>
      </c>
      <c r="L22" s="287"/>
      <c r="M22" s="287">
        <v>637350.0</v>
      </c>
      <c r="N22" s="287" t="s">
        <v>589</v>
      </c>
      <c r="O22" s="287" t="s">
        <v>560</v>
      </c>
    </row>
    <row r="23">
      <c r="A23" s="287">
        <f t="shared" si="1"/>
        <v>21</v>
      </c>
      <c r="B23" s="288">
        <v>45745.0</v>
      </c>
      <c r="C23" s="287" t="s">
        <v>143</v>
      </c>
      <c r="D23" s="287" t="s">
        <v>495</v>
      </c>
      <c r="E23" s="287" t="s">
        <v>497</v>
      </c>
      <c r="F23" s="287" t="s">
        <v>559</v>
      </c>
      <c r="G23" s="287"/>
      <c r="H23" s="287">
        <v>7.0569840925E10</v>
      </c>
      <c r="I23" s="287"/>
      <c r="J23" s="287"/>
      <c r="K23" s="287">
        <v>7.000919426E9</v>
      </c>
      <c r="L23" s="287"/>
      <c r="M23" s="287">
        <v>737235.0</v>
      </c>
      <c r="N23" s="287" t="s">
        <v>590</v>
      </c>
      <c r="O23" s="287" t="s">
        <v>560</v>
      </c>
    </row>
    <row r="24">
      <c r="A24" s="287">
        <f t="shared" si="1"/>
        <v>22</v>
      </c>
      <c r="B24" s="288">
        <v>45745.0</v>
      </c>
      <c r="C24" s="287" t="s">
        <v>143</v>
      </c>
      <c r="D24" s="287" t="s">
        <v>495</v>
      </c>
      <c r="E24" s="287" t="s">
        <v>558</v>
      </c>
      <c r="F24" s="287" t="s">
        <v>559</v>
      </c>
      <c r="G24" s="308"/>
      <c r="H24" s="308">
        <v>7.0190231225E10</v>
      </c>
      <c r="I24" s="287"/>
      <c r="J24" s="287"/>
      <c r="K24" s="287">
        <v>7.0611290825E10</v>
      </c>
      <c r="L24" s="287"/>
      <c r="M24" s="287">
        <v>737235.0</v>
      </c>
      <c r="N24" s="287" t="s">
        <v>590</v>
      </c>
      <c r="O24" s="287" t="s">
        <v>560</v>
      </c>
    </row>
    <row r="25">
      <c r="A25" s="287">
        <f t="shared" si="1"/>
        <v>23</v>
      </c>
      <c r="B25" s="288">
        <v>45746.0</v>
      </c>
      <c r="C25" s="287" t="s">
        <v>132</v>
      </c>
      <c r="D25" s="287" t="s">
        <v>495</v>
      </c>
      <c r="E25" s="287" t="s">
        <v>558</v>
      </c>
      <c r="F25" s="287" t="s">
        <v>559</v>
      </c>
      <c r="G25" s="287"/>
      <c r="H25" s="287">
        <v>7.0245090925E10</v>
      </c>
      <c r="I25" s="287"/>
      <c r="J25" s="287"/>
      <c r="K25" s="287">
        <v>7.0350110925E10</v>
      </c>
      <c r="L25" s="287"/>
      <c r="M25" s="287">
        <v>624982.0</v>
      </c>
      <c r="N25" s="287" t="s">
        <v>583</v>
      </c>
      <c r="O25" s="287" t="s">
        <v>560</v>
      </c>
    </row>
    <row r="26">
      <c r="A26" s="287">
        <f t="shared" si="1"/>
        <v>24</v>
      </c>
      <c r="B26" s="288">
        <v>45746.0</v>
      </c>
      <c r="C26" s="287" t="s">
        <v>132</v>
      </c>
      <c r="D26" s="287" t="s">
        <v>495</v>
      </c>
      <c r="E26" s="287" t="s">
        <v>497</v>
      </c>
      <c r="F26" s="287" t="s">
        <v>559</v>
      </c>
      <c r="G26" s="287"/>
      <c r="H26" s="287">
        <v>7.0003084924E10</v>
      </c>
      <c r="I26" s="287"/>
      <c r="J26" s="287"/>
      <c r="K26" s="287">
        <v>7.0754973024E10</v>
      </c>
      <c r="L26" s="287"/>
      <c r="M26" s="287">
        <v>624982.0</v>
      </c>
      <c r="N26" s="287" t="s">
        <v>583</v>
      </c>
      <c r="O26" s="287" t="s">
        <v>560</v>
      </c>
    </row>
    <row r="27">
      <c r="A27" s="287">
        <f t="shared" si="1"/>
        <v>25</v>
      </c>
      <c r="B27" s="309">
        <v>45752.0</v>
      </c>
      <c r="C27" s="310" t="s">
        <v>57</v>
      </c>
      <c r="D27" s="287" t="s">
        <v>495</v>
      </c>
      <c r="E27" s="287" t="s">
        <v>558</v>
      </c>
      <c r="F27" s="287" t="s">
        <v>559</v>
      </c>
      <c r="G27" s="310"/>
      <c r="H27" s="310">
        <v>7.0484650825E10</v>
      </c>
      <c r="I27" s="310"/>
      <c r="J27" s="310"/>
      <c r="K27" s="310">
        <v>7.0562160825E10</v>
      </c>
      <c r="L27" s="287"/>
      <c r="M27" s="310">
        <v>640491.0</v>
      </c>
      <c r="N27" s="310" t="s">
        <v>595</v>
      </c>
      <c r="O27" s="310" t="s">
        <v>560</v>
      </c>
    </row>
    <row r="28">
      <c r="A28" s="287">
        <f t="shared" si="1"/>
        <v>26</v>
      </c>
      <c r="B28" s="309">
        <v>45755.0</v>
      </c>
      <c r="C28" s="310" t="s">
        <v>121</v>
      </c>
      <c r="D28" s="287" t="s">
        <v>495</v>
      </c>
      <c r="E28" s="310" t="s">
        <v>497</v>
      </c>
      <c r="F28" s="287" t="s">
        <v>559</v>
      </c>
      <c r="G28" s="310"/>
      <c r="H28" s="310">
        <v>7.0014024924E10</v>
      </c>
      <c r="I28" s="310"/>
      <c r="J28" s="310"/>
      <c r="K28" s="310">
        <v>7.0596961225E10</v>
      </c>
      <c r="L28" s="287"/>
      <c r="M28" s="310">
        <v>16430.0</v>
      </c>
      <c r="N28" s="311"/>
      <c r="O28" s="310" t="s">
        <v>560</v>
      </c>
    </row>
    <row r="29">
      <c r="A29" s="287">
        <f t="shared" si="1"/>
        <v>27</v>
      </c>
      <c r="B29" s="309">
        <v>45755.0</v>
      </c>
      <c r="C29" s="310" t="s">
        <v>120</v>
      </c>
      <c r="D29" s="287" t="s">
        <v>495</v>
      </c>
      <c r="E29" s="287" t="s">
        <v>558</v>
      </c>
      <c r="F29" s="287" t="s">
        <v>559</v>
      </c>
      <c r="G29" s="310"/>
      <c r="H29" s="310">
        <v>7.0248180925E10</v>
      </c>
      <c r="I29" s="310"/>
      <c r="J29" s="310"/>
      <c r="K29" s="310">
        <v>7.0351150925E10</v>
      </c>
      <c r="L29" s="287"/>
      <c r="M29" s="310">
        <v>689669.0</v>
      </c>
      <c r="N29" s="311"/>
      <c r="O29" s="310" t="s">
        <v>506</v>
      </c>
    </row>
    <row r="30">
      <c r="A30" s="287">
        <f t="shared" si="1"/>
        <v>28</v>
      </c>
      <c r="B30" s="309">
        <v>45763.0</v>
      </c>
      <c r="C30" s="287" t="s">
        <v>159</v>
      </c>
      <c r="D30" s="287" t="s">
        <v>495</v>
      </c>
      <c r="E30" s="287" t="s">
        <v>558</v>
      </c>
      <c r="F30" s="287" t="s">
        <v>559</v>
      </c>
      <c r="G30" s="287"/>
      <c r="H30" s="310">
        <v>7.0602521225E10</v>
      </c>
      <c r="I30" s="310"/>
      <c r="J30" s="310"/>
      <c r="K30" s="310">
        <v>7.0274961425E10</v>
      </c>
      <c r="L30" s="287"/>
      <c r="M30" s="310">
        <v>199230.0</v>
      </c>
      <c r="N30" s="311"/>
      <c r="O30" s="310" t="s">
        <v>560</v>
      </c>
    </row>
    <row r="31">
      <c r="A31" s="287">
        <f t="shared" si="1"/>
        <v>29</v>
      </c>
      <c r="B31" s="309">
        <v>45763.0</v>
      </c>
      <c r="C31" s="310" t="s">
        <v>159</v>
      </c>
      <c r="D31" s="287" t="s">
        <v>495</v>
      </c>
      <c r="E31" s="287" t="s">
        <v>497</v>
      </c>
      <c r="F31" s="287" t="s">
        <v>559</v>
      </c>
      <c r="G31" s="310"/>
      <c r="H31" s="310">
        <v>7.0388061425E10</v>
      </c>
      <c r="I31" s="310"/>
      <c r="J31" s="310"/>
      <c r="K31" s="310">
        <v>7.0600031225E10</v>
      </c>
      <c r="L31" s="287"/>
      <c r="M31" s="310">
        <v>199230.0</v>
      </c>
      <c r="N31" s="311"/>
      <c r="O31" s="310" t="s">
        <v>560</v>
      </c>
    </row>
    <row r="32">
      <c r="A32" s="287">
        <f t="shared" si="1"/>
        <v>30</v>
      </c>
      <c r="B32" s="309">
        <v>45766.0</v>
      </c>
      <c r="C32" s="310" t="s">
        <v>160</v>
      </c>
      <c r="D32" s="287" t="s">
        <v>495</v>
      </c>
      <c r="E32" s="287" t="s">
        <v>558</v>
      </c>
      <c r="F32" s="287" t="s">
        <v>559</v>
      </c>
      <c r="G32" s="310">
        <v>7.0819752024E10</v>
      </c>
      <c r="H32" s="310">
        <v>7.0822201425E10</v>
      </c>
      <c r="I32" s="310"/>
      <c r="J32" s="310">
        <v>7.0220581124E10</v>
      </c>
      <c r="K32" s="310">
        <v>7.0803441525E10</v>
      </c>
      <c r="L32" s="287"/>
      <c r="M32" s="310">
        <v>794891.0</v>
      </c>
      <c r="N32" s="310" t="s">
        <v>600</v>
      </c>
      <c r="O32" s="310" t="s">
        <v>560</v>
      </c>
    </row>
    <row r="33">
      <c r="A33" s="287">
        <v>31.0</v>
      </c>
      <c r="B33" s="309">
        <v>45766.0</v>
      </c>
      <c r="C33" s="310" t="s">
        <v>155</v>
      </c>
      <c r="D33" s="287" t="s">
        <v>495</v>
      </c>
      <c r="E33" s="287" t="s">
        <v>497</v>
      </c>
      <c r="F33" s="287" t="s">
        <v>601</v>
      </c>
      <c r="G33" s="310" t="s">
        <v>602</v>
      </c>
      <c r="H33" s="310">
        <v>7.0595731225E10</v>
      </c>
      <c r="I33" s="310"/>
      <c r="J33" s="310">
        <v>7.0790382024E10</v>
      </c>
      <c r="K33" s="310">
        <v>7.0443014924E10</v>
      </c>
      <c r="L33" s="287"/>
      <c r="M33" s="310">
        <v>60435.0</v>
      </c>
      <c r="N33" s="310" t="s">
        <v>603</v>
      </c>
      <c r="O33" s="310" t="s">
        <v>560</v>
      </c>
    </row>
    <row r="34">
      <c r="A34" s="287">
        <v>32.0</v>
      </c>
      <c r="B34" s="309">
        <v>45766.0</v>
      </c>
      <c r="C34" s="310" t="s">
        <v>155</v>
      </c>
      <c r="D34" s="287" t="s">
        <v>501</v>
      </c>
      <c r="E34" s="287" t="s">
        <v>497</v>
      </c>
      <c r="F34" s="287" t="s">
        <v>601</v>
      </c>
      <c r="G34" s="310"/>
      <c r="H34" s="310">
        <v>7.0469362724E10</v>
      </c>
      <c r="I34" s="310"/>
      <c r="J34" s="310"/>
      <c r="K34" s="310">
        <v>7.0107382024E10</v>
      </c>
      <c r="L34" s="287"/>
      <c r="M34" s="310">
        <v>60435.0</v>
      </c>
      <c r="N34" s="310" t="s">
        <v>603</v>
      </c>
      <c r="O34" s="310" t="s">
        <v>512</v>
      </c>
    </row>
    <row r="35">
      <c r="A35" s="287">
        <v>33.0</v>
      </c>
      <c r="B35" s="309"/>
      <c r="C35" s="310"/>
      <c r="D35" s="287"/>
      <c r="E35" s="287" t="s">
        <v>558</v>
      </c>
      <c r="F35" s="287"/>
      <c r="G35" s="310">
        <v>7.037791082E9</v>
      </c>
      <c r="H35" s="310"/>
      <c r="I35" s="310"/>
      <c r="J35" s="310">
        <v>7.0689162524E10</v>
      </c>
      <c r="K35" s="310"/>
      <c r="L35" s="287"/>
      <c r="M35" s="310"/>
      <c r="N35" s="310" t="s">
        <v>603</v>
      </c>
      <c r="O35" s="310"/>
    </row>
    <row r="36">
      <c r="A36" s="287">
        <f t="shared" ref="A36:A132" si="2">row()-2</f>
        <v>34</v>
      </c>
      <c r="B36" s="309">
        <v>45769.0</v>
      </c>
      <c r="C36" s="310" t="s">
        <v>181</v>
      </c>
      <c r="D36" s="287" t="s">
        <v>501</v>
      </c>
      <c r="E36" s="287" t="s">
        <v>558</v>
      </c>
      <c r="F36" s="287" t="s">
        <v>559</v>
      </c>
      <c r="G36" s="310" t="s">
        <v>606</v>
      </c>
      <c r="H36" s="310">
        <v>7.0391330324E10</v>
      </c>
      <c r="I36" s="310"/>
      <c r="J36" s="310" t="s">
        <v>608</v>
      </c>
      <c r="K36" s="310">
        <v>7.0294420424E10</v>
      </c>
      <c r="L36" s="287"/>
      <c r="M36" s="310">
        <v>57543.0</v>
      </c>
      <c r="N36" s="311"/>
      <c r="O36" s="310" t="s">
        <v>610</v>
      </c>
    </row>
    <row r="37">
      <c r="A37" s="287">
        <f t="shared" si="2"/>
        <v>35</v>
      </c>
      <c r="B37" s="309"/>
      <c r="C37" s="310"/>
      <c r="D37" s="287"/>
      <c r="E37" s="287"/>
      <c r="F37" s="287"/>
      <c r="G37" s="310"/>
      <c r="H37" s="310"/>
      <c r="I37" s="310"/>
      <c r="J37" s="310"/>
      <c r="K37" s="310"/>
      <c r="L37" s="287"/>
      <c r="M37" s="310"/>
      <c r="N37" s="311"/>
      <c r="O37" s="310"/>
    </row>
    <row r="38">
      <c r="A38" s="287">
        <f t="shared" si="2"/>
        <v>36</v>
      </c>
      <c r="B38" s="309"/>
      <c r="C38" s="310"/>
      <c r="D38" s="287"/>
      <c r="E38" s="287"/>
      <c r="F38" s="287"/>
      <c r="G38" s="310"/>
      <c r="H38" s="310"/>
      <c r="I38" s="310"/>
      <c r="J38" s="310"/>
      <c r="K38" s="310"/>
      <c r="L38" s="287"/>
      <c r="M38" s="310"/>
      <c r="N38" s="311"/>
      <c r="O38" s="310"/>
    </row>
    <row r="39">
      <c r="A39" s="287">
        <f t="shared" si="2"/>
        <v>37</v>
      </c>
      <c r="B39" s="309"/>
      <c r="C39" s="310"/>
      <c r="D39" s="287"/>
      <c r="E39" s="287"/>
      <c r="F39" s="287"/>
      <c r="G39" s="310"/>
      <c r="H39" s="310"/>
      <c r="I39" s="310"/>
      <c r="J39" s="310"/>
      <c r="K39" s="310"/>
      <c r="L39" s="287"/>
      <c r="M39" s="310"/>
      <c r="N39" s="311"/>
      <c r="O39" s="310"/>
    </row>
    <row r="40">
      <c r="A40" s="287">
        <f t="shared" si="2"/>
        <v>38</v>
      </c>
      <c r="B40" s="309"/>
      <c r="C40" s="310"/>
      <c r="D40" s="287"/>
      <c r="E40" s="287"/>
      <c r="F40" s="287"/>
      <c r="G40" s="310"/>
      <c r="H40" s="310"/>
      <c r="I40" s="310"/>
      <c r="J40" s="310"/>
      <c r="K40" s="310"/>
      <c r="L40" s="287"/>
      <c r="M40" s="310"/>
      <c r="N40" s="311"/>
      <c r="O40" s="310"/>
    </row>
    <row r="41">
      <c r="A41" s="287">
        <f t="shared" si="2"/>
        <v>39</v>
      </c>
      <c r="B41" s="309"/>
      <c r="C41" s="310"/>
      <c r="D41" s="287"/>
      <c r="E41" s="287"/>
      <c r="F41" s="287"/>
      <c r="G41" s="310"/>
      <c r="H41" s="310"/>
      <c r="I41" s="310"/>
      <c r="J41" s="310"/>
      <c r="K41" s="310"/>
      <c r="L41" s="287"/>
      <c r="M41" s="310"/>
      <c r="N41" s="311"/>
      <c r="O41" s="310"/>
    </row>
    <row r="42">
      <c r="A42" s="287">
        <f t="shared" si="2"/>
        <v>40</v>
      </c>
      <c r="B42" s="309"/>
      <c r="C42" s="310"/>
      <c r="D42" s="287"/>
      <c r="E42" s="287"/>
      <c r="F42" s="287"/>
      <c r="G42" s="310"/>
      <c r="H42" s="310"/>
      <c r="I42" s="310"/>
      <c r="J42" s="310"/>
      <c r="K42" s="310"/>
      <c r="L42" s="287"/>
      <c r="M42" s="310"/>
      <c r="N42" s="311"/>
      <c r="O42" s="310"/>
    </row>
    <row r="43">
      <c r="A43" s="287">
        <f t="shared" si="2"/>
        <v>41</v>
      </c>
      <c r="B43" s="309"/>
      <c r="C43" s="310"/>
      <c r="D43" s="287"/>
      <c r="E43" s="287"/>
      <c r="F43" s="287"/>
      <c r="G43" s="310"/>
      <c r="H43" s="310"/>
      <c r="I43" s="310"/>
      <c r="J43" s="310"/>
      <c r="K43" s="310"/>
      <c r="L43" s="287"/>
      <c r="M43" s="310"/>
      <c r="N43" s="311"/>
      <c r="O43" s="310"/>
    </row>
    <row r="44">
      <c r="A44" s="287">
        <f t="shared" si="2"/>
        <v>42</v>
      </c>
      <c r="B44" s="309"/>
      <c r="C44" s="310"/>
      <c r="D44" s="287"/>
      <c r="E44" s="287"/>
      <c r="F44" s="287"/>
      <c r="G44" s="310"/>
      <c r="H44" s="310"/>
      <c r="I44" s="310"/>
      <c r="J44" s="310"/>
      <c r="K44" s="310"/>
      <c r="L44" s="287"/>
      <c r="M44" s="310"/>
      <c r="N44" s="311"/>
      <c r="O44" s="310"/>
    </row>
    <row r="45">
      <c r="A45" s="287">
        <f t="shared" si="2"/>
        <v>43</v>
      </c>
      <c r="B45" s="309"/>
      <c r="C45" s="310"/>
      <c r="D45" s="287"/>
      <c r="E45" s="287"/>
      <c r="F45" s="287"/>
      <c r="G45" s="310"/>
      <c r="H45" s="310"/>
      <c r="I45" s="310"/>
      <c r="J45" s="310"/>
      <c r="K45" s="310"/>
      <c r="L45" s="287"/>
      <c r="M45" s="310"/>
      <c r="N45" s="311"/>
      <c r="O45" s="310"/>
    </row>
    <row r="46">
      <c r="A46" s="287">
        <f t="shared" si="2"/>
        <v>44</v>
      </c>
      <c r="B46" s="309"/>
      <c r="C46" s="310"/>
      <c r="D46" s="287"/>
      <c r="E46" s="287"/>
      <c r="F46" s="287"/>
      <c r="G46" s="310"/>
      <c r="H46" s="310"/>
      <c r="I46" s="310"/>
      <c r="J46" s="310"/>
      <c r="K46" s="310"/>
      <c r="L46" s="287"/>
      <c r="M46" s="310"/>
      <c r="N46" s="311"/>
      <c r="O46" s="310"/>
    </row>
    <row r="47">
      <c r="A47" s="287">
        <f t="shared" si="2"/>
        <v>45</v>
      </c>
      <c r="B47" s="309"/>
      <c r="C47" s="310"/>
      <c r="D47" s="287"/>
      <c r="E47" s="287"/>
      <c r="F47" s="287"/>
      <c r="G47" s="310"/>
      <c r="H47" s="310"/>
      <c r="I47" s="310"/>
      <c r="J47" s="310"/>
      <c r="K47" s="310"/>
      <c r="L47" s="287"/>
      <c r="M47" s="310"/>
      <c r="N47" s="311"/>
      <c r="O47" s="310"/>
    </row>
    <row r="48">
      <c r="A48" s="287">
        <f t="shared" si="2"/>
        <v>46</v>
      </c>
      <c r="B48" s="309"/>
      <c r="C48" s="310"/>
      <c r="D48" s="287"/>
      <c r="E48" s="287"/>
      <c r="F48" s="287"/>
      <c r="G48" s="310"/>
      <c r="H48" s="310"/>
      <c r="I48" s="310"/>
      <c r="J48" s="310"/>
      <c r="K48" s="310"/>
      <c r="L48" s="287"/>
      <c r="M48" s="310"/>
      <c r="N48" s="311"/>
      <c r="O48" s="310"/>
    </row>
    <row r="49">
      <c r="A49" s="287">
        <f t="shared" si="2"/>
        <v>47</v>
      </c>
      <c r="B49" s="309"/>
      <c r="C49" s="310"/>
      <c r="D49" s="287"/>
      <c r="E49" s="287"/>
      <c r="F49" s="287"/>
      <c r="G49" s="310"/>
      <c r="H49" s="310"/>
      <c r="I49" s="310"/>
      <c r="J49" s="310"/>
      <c r="K49" s="310"/>
      <c r="L49" s="287"/>
      <c r="M49" s="310"/>
      <c r="N49" s="311"/>
      <c r="O49" s="310"/>
    </row>
    <row r="50">
      <c r="A50" s="287">
        <f t="shared" si="2"/>
        <v>48</v>
      </c>
      <c r="B50" s="309"/>
      <c r="C50" s="310"/>
      <c r="D50" s="287"/>
      <c r="E50" s="287"/>
      <c r="F50" s="287"/>
      <c r="G50" s="310"/>
      <c r="H50" s="310"/>
      <c r="I50" s="310"/>
      <c r="J50" s="310"/>
      <c r="K50" s="310"/>
      <c r="L50" s="287"/>
      <c r="M50" s="310"/>
      <c r="N50" s="311"/>
      <c r="O50" s="310"/>
    </row>
    <row r="51">
      <c r="A51" s="287">
        <f t="shared" si="2"/>
        <v>49</v>
      </c>
      <c r="B51" s="309"/>
      <c r="C51" s="310"/>
      <c r="D51" s="287"/>
      <c r="E51" s="287"/>
      <c r="F51" s="287"/>
      <c r="G51" s="310"/>
      <c r="H51" s="310"/>
      <c r="I51" s="310"/>
      <c r="J51" s="310"/>
      <c r="K51" s="310"/>
      <c r="L51" s="287"/>
      <c r="M51" s="310"/>
      <c r="N51" s="311"/>
      <c r="O51" s="310"/>
    </row>
    <row r="52">
      <c r="A52" s="287">
        <f t="shared" si="2"/>
        <v>50</v>
      </c>
      <c r="B52" s="309"/>
      <c r="C52" s="310"/>
      <c r="D52" s="287"/>
      <c r="E52" s="287"/>
      <c r="F52" s="287"/>
      <c r="G52" s="310"/>
      <c r="H52" s="310"/>
      <c r="I52" s="310"/>
      <c r="J52" s="310"/>
      <c r="K52" s="310"/>
      <c r="L52" s="287"/>
      <c r="M52" s="310"/>
      <c r="N52" s="311"/>
      <c r="O52" s="310"/>
    </row>
    <row r="53">
      <c r="A53" s="287">
        <f t="shared" si="2"/>
        <v>51</v>
      </c>
      <c r="B53" s="309"/>
      <c r="C53" s="310"/>
      <c r="D53" s="287"/>
      <c r="E53" s="287"/>
      <c r="F53" s="287"/>
      <c r="G53" s="310"/>
      <c r="H53" s="310"/>
      <c r="I53" s="310"/>
      <c r="J53" s="310"/>
      <c r="K53" s="310"/>
      <c r="L53" s="287"/>
      <c r="M53" s="310"/>
      <c r="N53" s="311"/>
      <c r="O53" s="310"/>
    </row>
    <row r="54">
      <c r="A54" s="287">
        <f t="shared" si="2"/>
        <v>52</v>
      </c>
      <c r="B54" s="309"/>
      <c r="C54" s="310"/>
      <c r="D54" s="287"/>
      <c r="E54" s="287"/>
      <c r="F54" s="287"/>
      <c r="G54" s="310"/>
      <c r="H54" s="310"/>
      <c r="I54" s="310"/>
      <c r="J54" s="310"/>
      <c r="K54" s="310"/>
      <c r="L54" s="287"/>
      <c r="M54" s="310"/>
      <c r="N54" s="311"/>
      <c r="O54" s="310"/>
    </row>
    <row r="55">
      <c r="A55" s="287">
        <f t="shared" si="2"/>
        <v>53</v>
      </c>
      <c r="B55" s="309"/>
      <c r="C55" s="310"/>
      <c r="D55" s="287"/>
      <c r="E55" s="287"/>
      <c r="F55" s="287"/>
      <c r="G55" s="310"/>
      <c r="H55" s="310"/>
      <c r="I55" s="310"/>
      <c r="J55" s="310"/>
      <c r="K55" s="310"/>
      <c r="L55" s="287"/>
      <c r="M55" s="310"/>
      <c r="N55" s="311"/>
      <c r="O55" s="310"/>
    </row>
    <row r="56">
      <c r="A56" s="287">
        <f t="shared" si="2"/>
        <v>54</v>
      </c>
      <c r="B56" s="309"/>
      <c r="C56" s="310"/>
      <c r="D56" s="287"/>
      <c r="E56" s="287"/>
      <c r="F56" s="287"/>
      <c r="G56" s="310"/>
      <c r="H56" s="310"/>
      <c r="I56" s="310"/>
      <c r="J56" s="310"/>
      <c r="K56" s="310"/>
      <c r="L56" s="287"/>
      <c r="M56" s="310"/>
      <c r="N56" s="311"/>
      <c r="O56" s="310"/>
    </row>
    <row r="57">
      <c r="A57" s="287">
        <f t="shared" si="2"/>
        <v>55</v>
      </c>
      <c r="B57" s="309"/>
      <c r="C57" s="310"/>
      <c r="D57" s="287"/>
      <c r="E57" s="287"/>
      <c r="F57" s="287"/>
      <c r="G57" s="310"/>
      <c r="H57" s="310"/>
      <c r="I57" s="310"/>
      <c r="J57" s="310"/>
      <c r="K57" s="310"/>
      <c r="L57" s="287"/>
      <c r="M57" s="310"/>
      <c r="N57" s="311"/>
      <c r="O57" s="310"/>
    </row>
    <row r="58">
      <c r="A58" s="287">
        <f t="shared" si="2"/>
        <v>56</v>
      </c>
      <c r="B58" s="309"/>
      <c r="C58" s="310"/>
      <c r="D58" s="287"/>
      <c r="E58" s="287"/>
      <c r="F58" s="287"/>
      <c r="G58" s="310"/>
      <c r="H58" s="310"/>
      <c r="I58" s="310"/>
      <c r="J58" s="310"/>
      <c r="K58" s="310"/>
      <c r="L58" s="287"/>
      <c r="M58" s="310"/>
      <c r="N58" s="311"/>
      <c r="O58" s="310"/>
    </row>
    <row r="59">
      <c r="A59" s="287">
        <f t="shared" si="2"/>
        <v>57</v>
      </c>
      <c r="B59" s="309"/>
      <c r="C59" s="310"/>
      <c r="D59" s="287"/>
      <c r="E59" s="287"/>
      <c r="F59" s="287"/>
      <c r="G59" s="310"/>
      <c r="H59" s="310"/>
      <c r="I59" s="310"/>
      <c r="J59" s="310"/>
      <c r="K59" s="310"/>
      <c r="L59" s="287"/>
      <c r="M59" s="310"/>
      <c r="N59" s="311"/>
      <c r="O59" s="310"/>
    </row>
    <row r="60">
      <c r="A60" s="287">
        <f t="shared" si="2"/>
        <v>58</v>
      </c>
      <c r="B60" s="309"/>
      <c r="C60" s="310"/>
      <c r="D60" s="287"/>
      <c r="E60" s="287"/>
      <c r="F60" s="287"/>
      <c r="G60" s="310"/>
      <c r="H60" s="310"/>
      <c r="I60" s="310"/>
      <c r="J60" s="310"/>
      <c r="K60" s="310"/>
      <c r="L60" s="287"/>
      <c r="M60" s="310"/>
      <c r="N60" s="311"/>
      <c r="O60" s="310"/>
    </row>
    <row r="61">
      <c r="A61" s="287">
        <f t="shared" si="2"/>
        <v>59</v>
      </c>
      <c r="B61" s="309"/>
      <c r="C61" s="310"/>
      <c r="D61" s="287"/>
      <c r="E61" s="287"/>
      <c r="F61" s="287"/>
      <c r="G61" s="310"/>
      <c r="H61" s="310"/>
      <c r="I61" s="310"/>
      <c r="J61" s="310"/>
      <c r="K61" s="310"/>
      <c r="L61" s="287"/>
      <c r="M61" s="310"/>
      <c r="N61" s="311"/>
      <c r="O61" s="310"/>
    </row>
    <row r="62">
      <c r="A62" s="287">
        <f t="shared" si="2"/>
        <v>60</v>
      </c>
      <c r="B62" s="309"/>
      <c r="C62" s="310"/>
      <c r="D62" s="287"/>
      <c r="E62" s="287"/>
      <c r="F62" s="287"/>
      <c r="G62" s="310"/>
      <c r="H62" s="310"/>
      <c r="I62" s="310"/>
      <c r="J62" s="310"/>
      <c r="K62" s="310"/>
      <c r="L62" s="287"/>
      <c r="M62" s="310"/>
      <c r="N62" s="311"/>
      <c r="O62" s="310"/>
    </row>
    <row r="63">
      <c r="A63" s="287">
        <f t="shared" si="2"/>
        <v>61</v>
      </c>
      <c r="B63" s="309"/>
      <c r="C63" s="310"/>
      <c r="D63" s="287"/>
      <c r="E63" s="287"/>
      <c r="F63" s="287"/>
      <c r="G63" s="310"/>
      <c r="H63" s="310"/>
      <c r="I63" s="310"/>
      <c r="J63" s="310"/>
      <c r="K63" s="310"/>
      <c r="L63" s="287"/>
      <c r="M63" s="310"/>
      <c r="N63" s="311"/>
      <c r="O63" s="310"/>
    </row>
    <row r="64">
      <c r="A64" s="287">
        <f t="shared" si="2"/>
        <v>62</v>
      </c>
      <c r="B64" s="309"/>
      <c r="C64" s="310"/>
      <c r="D64" s="287"/>
      <c r="E64" s="287"/>
      <c r="F64" s="287"/>
      <c r="G64" s="310"/>
      <c r="H64" s="310"/>
      <c r="I64" s="310"/>
      <c r="J64" s="310"/>
      <c r="K64" s="310"/>
      <c r="L64" s="287"/>
      <c r="M64" s="310"/>
      <c r="N64" s="311"/>
      <c r="O64" s="310"/>
    </row>
    <row r="65">
      <c r="A65" s="287">
        <f t="shared" si="2"/>
        <v>63</v>
      </c>
      <c r="B65" s="309"/>
      <c r="C65" s="310"/>
      <c r="D65" s="287"/>
      <c r="E65" s="287"/>
      <c r="F65" s="287"/>
      <c r="G65" s="310"/>
      <c r="H65" s="310"/>
      <c r="I65" s="310"/>
      <c r="J65" s="310"/>
      <c r="K65" s="310"/>
      <c r="L65" s="287"/>
      <c r="M65" s="310"/>
      <c r="N65" s="311"/>
      <c r="O65" s="310"/>
    </row>
    <row r="66">
      <c r="A66" s="287">
        <f t="shared" si="2"/>
        <v>64</v>
      </c>
      <c r="B66" s="309"/>
      <c r="C66" s="310"/>
      <c r="D66" s="287"/>
      <c r="E66" s="287"/>
      <c r="F66" s="287"/>
      <c r="G66" s="310"/>
      <c r="H66" s="310"/>
      <c r="I66" s="310"/>
      <c r="J66" s="310"/>
      <c r="K66" s="310"/>
      <c r="L66" s="287"/>
      <c r="M66" s="310"/>
      <c r="N66" s="311"/>
      <c r="O66" s="310"/>
    </row>
    <row r="67">
      <c r="A67" s="287">
        <f t="shared" si="2"/>
        <v>65</v>
      </c>
      <c r="B67" s="309"/>
      <c r="C67" s="310"/>
      <c r="D67" s="287"/>
      <c r="E67" s="287"/>
      <c r="F67" s="287"/>
      <c r="G67" s="310"/>
      <c r="H67" s="310"/>
      <c r="I67" s="310"/>
      <c r="J67" s="310"/>
      <c r="K67" s="310"/>
      <c r="L67" s="287"/>
      <c r="M67" s="310"/>
      <c r="N67" s="311"/>
      <c r="O67" s="310"/>
    </row>
    <row r="68">
      <c r="A68" s="287">
        <f t="shared" si="2"/>
        <v>66</v>
      </c>
      <c r="B68" s="309"/>
      <c r="C68" s="310"/>
      <c r="D68" s="287"/>
      <c r="E68" s="287"/>
      <c r="F68" s="287"/>
      <c r="G68" s="310"/>
      <c r="H68" s="310"/>
      <c r="I68" s="310"/>
      <c r="J68" s="310"/>
      <c r="K68" s="310"/>
      <c r="L68" s="287"/>
      <c r="M68" s="310"/>
      <c r="N68" s="311"/>
      <c r="O68" s="310"/>
    </row>
    <row r="69">
      <c r="A69" s="287">
        <f t="shared" si="2"/>
        <v>67</v>
      </c>
      <c r="B69" s="309"/>
      <c r="C69" s="310"/>
      <c r="D69" s="287"/>
      <c r="E69" s="287"/>
      <c r="F69" s="287"/>
      <c r="G69" s="310"/>
      <c r="H69" s="310"/>
      <c r="I69" s="310"/>
      <c r="J69" s="310"/>
      <c r="K69" s="310"/>
      <c r="L69" s="287"/>
      <c r="M69" s="310"/>
      <c r="N69" s="311"/>
      <c r="O69" s="310"/>
    </row>
    <row r="70">
      <c r="A70" s="287">
        <f t="shared" si="2"/>
        <v>68</v>
      </c>
      <c r="B70" s="309"/>
      <c r="C70" s="310"/>
      <c r="D70" s="287"/>
      <c r="E70" s="287"/>
      <c r="F70" s="287"/>
      <c r="G70" s="310"/>
      <c r="H70" s="310"/>
      <c r="I70" s="310"/>
      <c r="J70" s="310"/>
      <c r="K70" s="310"/>
      <c r="L70" s="287"/>
      <c r="M70" s="310"/>
      <c r="N70" s="311"/>
      <c r="O70" s="310"/>
    </row>
    <row r="71">
      <c r="A71" s="287">
        <f t="shared" si="2"/>
        <v>69</v>
      </c>
      <c r="B71" s="309"/>
      <c r="C71" s="310"/>
      <c r="D71" s="287"/>
      <c r="E71" s="287"/>
      <c r="F71" s="287"/>
      <c r="G71" s="310"/>
      <c r="H71" s="310"/>
      <c r="I71" s="310"/>
      <c r="J71" s="310"/>
      <c r="K71" s="310"/>
      <c r="L71" s="287"/>
      <c r="M71" s="310"/>
      <c r="N71" s="311"/>
      <c r="O71" s="310"/>
    </row>
    <row r="72">
      <c r="A72" s="287">
        <f t="shared" si="2"/>
        <v>70</v>
      </c>
      <c r="B72" s="309"/>
      <c r="C72" s="310"/>
      <c r="D72" s="287"/>
      <c r="E72" s="287"/>
      <c r="F72" s="287"/>
      <c r="G72" s="310"/>
      <c r="H72" s="310"/>
      <c r="I72" s="310"/>
      <c r="J72" s="310"/>
      <c r="K72" s="310"/>
      <c r="L72" s="287"/>
      <c r="M72" s="310"/>
      <c r="N72" s="311"/>
      <c r="O72" s="310"/>
    </row>
    <row r="73">
      <c r="A73" s="287">
        <f t="shared" si="2"/>
        <v>71</v>
      </c>
      <c r="B73" s="309"/>
      <c r="C73" s="310"/>
      <c r="D73" s="287"/>
      <c r="E73" s="287"/>
      <c r="F73" s="287"/>
      <c r="G73" s="310"/>
      <c r="H73" s="310"/>
      <c r="I73" s="310"/>
      <c r="J73" s="310"/>
      <c r="K73" s="310"/>
      <c r="L73" s="287"/>
      <c r="M73" s="310"/>
      <c r="N73" s="311"/>
      <c r="O73" s="310"/>
    </row>
    <row r="74">
      <c r="A74" s="287">
        <f t="shared" si="2"/>
        <v>72</v>
      </c>
      <c r="B74" s="309"/>
      <c r="C74" s="310"/>
      <c r="D74" s="287"/>
      <c r="E74" s="287"/>
      <c r="F74" s="287"/>
      <c r="G74" s="310"/>
      <c r="H74" s="310"/>
      <c r="I74" s="310"/>
      <c r="J74" s="310"/>
      <c r="K74" s="310"/>
      <c r="L74" s="287"/>
      <c r="M74" s="310"/>
      <c r="N74" s="311"/>
      <c r="O74" s="310"/>
    </row>
    <row r="75">
      <c r="A75" s="287">
        <f t="shared" si="2"/>
        <v>73</v>
      </c>
      <c r="B75" s="309"/>
      <c r="C75" s="310"/>
      <c r="D75" s="287"/>
      <c r="E75" s="287"/>
      <c r="F75" s="287"/>
      <c r="G75" s="310"/>
      <c r="H75" s="310"/>
      <c r="I75" s="310"/>
      <c r="J75" s="310"/>
      <c r="K75" s="310"/>
      <c r="L75" s="287"/>
      <c r="M75" s="310"/>
      <c r="N75" s="311"/>
      <c r="O75" s="310"/>
    </row>
    <row r="76">
      <c r="A76" s="287">
        <f t="shared" si="2"/>
        <v>74</v>
      </c>
      <c r="B76" s="309"/>
      <c r="C76" s="310"/>
      <c r="D76" s="287"/>
      <c r="E76" s="287"/>
      <c r="F76" s="287"/>
      <c r="G76" s="310"/>
      <c r="H76" s="310"/>
      <c r="I76" s="310"/>
      <c r="J76" s="310"/>
      <c r="K76" s="310"/>
      <c r="L76" s="287"/>
      <c r="M76" s="310"/>
      <c r="N76" s="311"/>
      <c r="O76" s="310"/>
    </row>
    <row r="77">
      <c r="A77" s="287">
        <f t="shared" si="2"/>
        <v>75</v>
      </c>
      <c r="B77" s="309"/>
      <c r="C77" s="310"/>
      <c r="D77" s="287"/>
      <c r="E77" s="287"/>
      <c r="F77" s="287"/>
      <c r="G77" s="310"/>
      <c r="H77" s="310"/>
      <c r="I77" s="310"/>
      <c r="J77" s="310"/>
      <c r="K77" s="310"/>
      <c r="L77" s="287"/>
      <c r="M77" s="310"/>
      <c r="N77" s="311"/>
      <c r="O77" s="310"/>
    </row>
    <row r="78">
      <c r="A78" s="287">
        <f t="shared" si="2"/>
        <v>76</v>
      </c>
      <c r="B78" s="309"/>
      <c r="C78" s="310"/>
      <c r="D78" s="287"/>
      <c r="E78" s="287"/>
      <c r="F78" s="287"/>
      <c r="G78" s="310"/>
      <c r="H78" s="310"/>
      <c r="I78" s="310"/>
      <c r="J78" s="310"/>
      <c r="K78" s="310"/>
      <c r="L78" s="287"/>
      <c r="M78" s="310"/>
      <c r="N78" s="311"/>
      <c r="O78" s="310"/>
    </row>
    <row r="79">
      <c r="A79" s="287">
        <f t="shared" si="2"/>
        <v>77</v>
      </c>
      <c r="B79" s="309"/>
      <c r="C79" s="310"/>
      <c r="D79" s="287"/>
      <c r="E79" s="287"/>
      <c r="F79" s="287"/>
      <c r="G79" s="310"/>
      <c r="H79" s="310"/>
      <c r="I79" s="310"/>
      <c r="J79" s="310"/>
      <c r="K79" s="310"/>
      <c r="L79" s="287"/>
      <c r="M79" s="310"/>
      <c r="N79" s="311"/>
      <c r="O79" s="310"/>
    </row>
    <row r="80">
      <c r="A80" s="287">
        <f t="shared" si="2"/>
        <v>78</v>
      </c>
      <c r="B80" s="309"/>
      <c r="C80" s="310"/>
      <c r="D80" s="287"/>
      <c r="E80" s="287"/>
      <c r="F80" s="287"/>
      <c r="G80" s="310"/>
      <c r="H80" s="310"/>
      <c r="I80" s="310"/>
      <c r="J80" s="310"/>
      <c r="K80" s="310"/>
      <c r="L80" s="287"/>
      <c r="M80" s="310"/>
      <c r="N80" s="311"/>
      <c r="O80" s="310"/>
    </row>
    <row r="81">
      <c r="A81" s="287">
        <f t="shared" si="2"/>
        <v>79</v>
      </c>
      <c r="B81" s="309"/>
      <c r="C81" s="310"/>
      <c r="D81" s="287"/>
      <c r="E81" s="287"/>
      <c r="F81" s="287"/>
      <c r="G81" s="310"/>
      <c r="H81" s="310"/>
      <c r="I81" s="310"/>
      <c r="J81" s="310"/>
      <c r="K81" s="310"/>
      <c r="L81" s="287"/>
      <c r="M81" s="310"/>
      <c r="N81" s="311"/>
      <c r="O81" s="310"/>
    </row>
    <row r="82">
      <c r="A82" s="287">
        <f t="shared" si="2"/>
        <v>80</v>
      </c>
      <c r="B82" s="309"/>
      <c r="C82" s="310"/>
      <c r="D82" s="287"/>
      <c r="E82" s="287"/>
      <c r="F82" s="287"/>
      <c r="G82" s="310"/>
      <c r="H82" s="310"/>
      <c r="I82" s="310"/>
      <c r="J82" s="310"/>
      <c r="K82" s="310"/>
      <c r="L82" s="287"/>
      <c r="M82" s="310"/>
      <c r="N82" s="311"/>
      <c r="O82" s="310"/>
    </row>
    <row r="83">
      <c r="A83" s="287">
        <f t="shared" si="2"/>
        <v>81</v>
      </c>
      <c r="B83" s="309"/>
      <c r="C83" s="310"/>
      <c r="D83" s="287"/>
      <c r="E83" s="287"/>
      <c r="F83" s="287"/>
      <c r="G83" s="310"/>
      <c r="H83" s="310"/>
      <c r="I83" s="310"/>
      <c r="J83" s="310"/>
      <c r="K83" s="310"/>
      <c r="L83" s="287"/>
      <c r="M83" s="310"/>
      <c r="N83" s="311"/>
      <c r="O83" s="310"/>
    </row>
    <row r="84">
      <c r="A84" s="287">
        <f t="shared" si="2"/>
        <v>82</v>
      </c>
      <c r="B84" s="309"/>
      <c r="C84" s="310"/>
      <c r="D84" s="287"/>
      <c r="E84" s="287"/>
      <c r="F84" s="287"/>
      <c r="G84" s="310"/>
      <c r="H84" s="310"/>
      <c r="I84" s="310"/>
      <c r="J84" s="310"/>
      <c r="K84" s="310"/>
      <c r="L84" s="287"/>
      <c r="M84" s="310"/>
      <c r="N84" s="311"/>
      <c r="O84" s="310"/>
    </row>
    <row r="85">
      <c r="A85" s="287">
        <f t="shared" si="2"/>
        <v>83</v>
      </c>
      <c r="B85" s="309"/>
      <c r="C85" s="310"/>
      <c r="D85" s="287"/>
      <c r="E85" s="287"/>
      <c r="F85" s="287"/>
      <c r="G85" s="310"/>
      <c r="H85" s="310"/>
      <c r="I85" s="310"/>
      <c r="J85" s="310"/>
      <c r="K85" s="310"/>
      <c r="L85" s="287"/>
      <c r="M85" s="310"/>
      <c r="N85" s="311"/>
      <c r="O85" s="310"/>
    </row>
    <row r="86">
      <c r="A86" s="287">
        <f t="shared" si="2"/>
        <v>84</v>
      </c>
      <c r="B86" s="309"/>
      <c r="C86" s="310"/>
      <c r="D86" s="287"/>
      <c r="E86" s="287"/>
      <c r="F86" s="287"/>
      <c r="G86" s="310"/>
      <c r="H86" s="310"/>
      <c r="I86" s="310"/>
      <c r="J86" s="310"/>
      <c r="K86" s="310"/>
      <c r="L86" s="287"/>
      <c r="M86" s="310"/>
      <c r="N86" s="311"/>
      <c r="O86" s="310"/>
    </row>
    <row r="87">
      <c r="A87" s="287">
        <f t="shared" si="2"/>
        <v>85</v>
      </c>
      <c r="B87" s="309"/>
      <c r="C87" s="310"/>
      <c r="D87" s="287"/>
      <c r="E87" s="287"/>
      <c r="F87" s="287"/>
      <c r="G87" s="310"/>
      <c r="H87" s="310"/>
      <c r="I87" s="310"/>
      <c r="J87" s="310"/>
      <c r="K87" s="310"/>
      <c r="L87" s="287"/>
      <c r="M87" s="310"/>
      <c r="N87" s="311"/>
      <c r="O87" s="310"/>
    </row>
    <row r="88">
      <c r="A88" s="287">
        <f t="shared" si="2"/>
        <v>86</v>
      </c>
      <c r="B88" s="309"/>
      <c r="C88" s="310"/>
      <c r="D88" s="287"/>
      <c r="E88" s="287"/>
      <c r="F88" s="287"/>
      <c r="G88" s="310"/>
      <c r="H88" s="310"/>
      <c r="I88" s="310"/>
      <c r="J88" s="310"/>
      <c r="K88" s="310"/>
      <c r="L88" s="287"/>
      <c r="M88" s="310"/>
      <c r="N88" s="311"/>
      <c r="O88" s="310"/>
    </row>
    <row r="89">
      <c r="A89" s="287">
        <f t="shared" si="2"/>
        <v>87</v>
      </c>
      <c r="B89" s="309"/>
      <c r="C89" s="310"/>
      <c r="D89" s="287"/>
      <c r="E89" s="287"/>
      <c r="F89" s="287"/>
      <c r="G89" s="310"/>
      <c r="H89" s="310"/>
      <c r="I89" s="310"/>
      <c r="J89" s="310"/>
      <c r="K89" s="310"/>
      <c r="L89" s="287"/>
      <c r="M89" s="310"/>
      <c r="N89" s="311"/>
      <c r="O89" s="310"/>
    </row>
    <row r="90">
      <c r="A90" s="287">
        <f t="shared" si="2"/>
        <v>88</v>
      </c>
      <c r="B90" s="309"/>
      <c r="C90" s="310"/>
      <c r="D90" s="287"/>
      <c r="E90" s="287"/>
      <c r="F90" s="287"/>
      <c r="G90" s="310"/>
      <c r="H90" s="310"/>
      <c r="I90" s="310"/>
      <c r="J90" s="310"/>
      <c r="K90" s="310"/>
      <c r="L90" s="287"/>
      <c r="M90" s="310"/>
      <c r="N90" s="311"/>
      <c r="O90" s="310"/>
    </row>
    <row r="91">
      <c r="A91" s="287">
        <f t="shared" si="2"/>
        <v>89</v>
      </c>
      <c r="B91" s="309"/>
      <c r="C91" s="310"/>
      <c r="D91" s="287"/>
      <c r="E91" s="287"/>
      <c r="F91" s="287"/>
      <c r="G91" s="310"/>
      <c r="H91" s="310"/>
      <c r="I91" s="310"/>
      <c r="J91" s="310"/>
      <c r="K91" s="310"/>
      <c r="L91" s="287"/>
      <c r="M91" s="310"/>
      <c r="N91" s="311"/>
      <c r="O91" s="310"/>
    </row>
    <row r="92">
      <c r="A92" s="287">
        <f t="shared" si="2"/>
        <v>90</v>
      </c>
      <c r="B92" s="309"/>
      <c r="C92" s="310"/>
      <c r="D92" s="287"/>
      <c r="E92" s="287"/>
      <c r="F92" s="287"/>
      <c r="G92" s="310"/>
      <c r="H92" s="310"/>
      <c r="I92" s="310"/>
      <c r="J92" s="310"/>
      <c r="K92" s="310"/>
      <c r="L92" s="287"/>
      <c r="M92" s="310"/>
      <c r="N92" s="311"/>
      <c r="O92" s="310"/>
    </row>
    <row r="93">
      <c r="A93" s="287">
        <f t="shared" si="2"/>
        <v>91</v>
      </c>
      <c r="B93" s="309"/>
      <c r="C93" s="310"/>
      <c r="D93" s="287"/>
      <c r="E93" s="287"/>
      <c r="F93" s="287"/>
      <c r="G93" s="310"/>
      <c r="H93" s="310"/>
      <c r="I93" s="310"/>
      <c r="J93" s="310"/>
      <c r="K93" s="310"/>
      <c r="L93" s="287"/>
      <c r="M93" s="310"/>
      <c r="N93" s="311"/>
      <c r="O93" s="310"/>
    </row>
    <row r="94">
      <c r="A94" s="287">
        <f t="shared" si="2"/>
        <v>92</v>
      </c>
      <c r="B94" s="309"/>
      <c r="C94" s="310"/>
      <c r="D94" s="287"/>
      <c r="E94" s="287"/>
      <c r="F94" s="287"/>
      <c r="G94" s="310"/>
      <c r="H94" s="310"/>
      <c r="I94" s="310"/>
      <c r="J94" s="310"/>
      <c r="K94" s="310"/>
      <c r="L94" s="287"/>
      <c r="M94" s="310"/>
      <c r="N94" s="311"/>
      <c r="O94" s="310"/>
    </row>
    <row r="95">
      <c r="A95" s="287">
        <f t="shared" si="2"/>
        <v>93</v>
      </c>
      <c r="B95" s="309"/>
      <c r="C95" s="310"/>
      <c r="D95" s="287"/>
      <c r="E95" s="287"/>
      <c r="F95" s="287"/>
      <c r="G95" s="310"/>
      <c r="H95" s="310"/>
      <c r="I95" s="310"/>
      <c r="J95" s="310"/>
      <c r="K95" s="310"/>
      <c r="L95" s="287"/>
      <c r="M95" s="310"/>
      <c r="N95" s="311"/>
      <c r="O95" s="310"/>
    </row>
    <row r="96">
      <c r="A96" s="287">
        <f t="shared" si="2"/>
        <v>94</v>
      </c>
      <c r="B96" s="309"/>
      <c r="C96" s="310"/>
      <c r="D96" s="287"/>
      <c r="E96" s="287"/>
      <c r="F96" s="287"/>
      <c r="G96" s="310"/>
      <c r="H96" s="310"/>
      <c r="I96" s="310"/>
      <c r="J96" s="310"/>
      <c r="K96" s="310"/>
      <c r="L96" s="287"/>
      <c r="M96" s="310"/>
      <c r="N96" s="311"/>
      <c r="O96" s="310"/>
    </row>
    <row r="97">
      <c r="A97" s="287">
        <f t="shared" si="2"/>
        <v>95</v>
      </c>
      <c r="B97" s="309"/>
      <c r="C97" s="310"/>
      <c r="D97" s="287"/>
      <c r="E97" s="287"/>
      <c r="F97" s="287"/>
      <c r="G97" s="310"/>
      <c r="H97" s="310"/>
      <c r="I97" s="310"/>
      <c r="J97" s="310"/>
      <c r="K97" s="310"/>
      <c r="L97" s="287"/>
      <c r="M97" s="310"/>
      <c r="N97" s="311"/>
      <c r="O97" s="310"/>
    </row>
    <row r="98">
      <c r="A98" s="287">
        <f t="shared" si="2"/>
        <v>96</v>
      </c>
      <c r="B98" s="309"/>
      <c r="C98" s="310"/>
      <c r="D98" s="287"/>
      <c r="E98" s="287"/>
      <c r="F98" s="287"/>
      <c r="G98" s="310"/>
      <c r="H98" s="310"/>
      <c r="I98" s="310"/>
      <c r="J98" s="310"/>
      <c r="K98" s="310"/>
      <c r="L98" s="287"/>
      <c r="M98" s="310"/>
      <c r="N98" s="311"/>
      <c r="O98" s="310"/>
    </row>
    <row r="99">
      <c r="A99" s="287">
        <f t="shared" si="2"/>
        <v>97</v>
      </c>
      <c r="B99" s="309"/>
      <c r="C99" s="310"/>
      <c r="D99" s="287"/>
      <c r="E99" s="287"/>
      <c r="F99" s="287"/>
      <c r="G99" s="310"/>
      <c r="H99" s="310"/>
      <c r="I99" s="310"/>
      <c r="J99" s="310"/>
      <c r="K99" s="310"/>
      <c r="L99" s="287"/>
      <c r="M99" s="310"/>
      <c r="N99" s="311"/>
      <c r="O99" s="310"/>
    </row>
    <row r="100">
      <c r="A100" s="287">
        <f t="shared" si="2"/>
        <v>98</v>
      </c>
      <c r="B100" s="309"/>
      <c r="C100" s="310"/>
      <c r="D100" s="287"/>
      <c r="E100" s="287"/>
      <c r="F100" s="287"/>
      <c r="G100" s="310"/>
      <c r="H100" s="310"/>
      <c r="I100" s="310"/>
      <c r="J100" s="310"/>
      <c r="K100" s="310"/>
      <c r="L100" s="287"/>
      <c r="M100" s="310"/>
      <c r="N100" s="311"/>
      <c r="O100" s="310"/>
    </row>
    <row r="101">
      <c r="A101" s="287">
        <f t="shared" si="2"/>
        <v>99</v>
      </c>
      <c r="B101" s="309"/>
      <c r="C101" s="310"/>
      <c r="D101" s="287"/>
      <c r="E101" s="287"/>
      <c r="F101" s="287"/>
      <c r="G101" s="310"/>
      <c r="H101" s="310"/>
      <c r="I101" s="310"/>
      <c r="J101" s="310"/>
      <c r="K101" s="310"/>
      <c r="L101" s="287"/>
      <c r="M101" s="310"/>
      <c r="N101" s="311"/>
      <c r="O101" s="310"/>
    </row>
    <row r="102">
      <c r="A102" s="287">
        <f t="shared" si="2"/>
        <v>100</v>
      </c>
      <c r="B102" s="309"/>
      <c r="C102" s="310"/>
      <c r="D102" s="287"/>
      <c r="E102" s="287"/>
      <c r="F102" s="287"/>
      <c r="G102" s="310"/>
      <c r="H102" s="310"/>
      <c r="I102" s="310"/>
      <c r="J102" s="310"/>
      <c r="K102" s="310"/>
      <c r="L102" s="287"/>
      <c r="M102" s="310"/>
      <c r="N102" s="311"/>
      <c r="O102" s="310"/>
    </row>
    <row r="103">
      <c r="A103" s="287">
        <f t="shared" si="2"/>
        <v>101</v>
      </c>
      <c r="B103" s="309"/>
      <c r="C103" s="310"/>
      <c r="D103" s="287"/>
      <c r="E103" s="287"/>
      <c r="F103" s="287"/>
      <c r="G103" s="310"/>
      <c r="H103" s="310"/>
      <c r="I103" s="310"/>
      <c r="J103" s="310"/>
      <c r="K103" s="310"/>
      <c r="L103" s="287"/>
      <c r="M103" s="310"/>
      <c r="N103" s="311"/>
      <c r="O103" s="310"/>
    </row>
    <row r="104">
      <c r="A104" s="287">
        <f t="shared" si="2"/>
        <v>102</v>
      </c>
      <c r="B104" s="309"/>
      <c r="C104" s="310"/>
      <c r="D104" s="287"/>
      <c r="E104" s="287"/>
      <c r="F104" s="287"/>
      <c r="G104" s="310"/>
      <c r="H104" s="310"/>
      <c r="I104" s="310"/>
      <c r="J104" s="310"/>
      <c r="K104" s="310"/>
      <c r="L104" s="287"/>
      <c r="M104" s="310"/>
      <c r="N104" s="311"/>
      <c r="O104" s="310"/>
    </row>
    <row r="105">
      <c r="A105" s="287">
        <f t="shared" si="2"/>
        <v>103</v>
      </c>
      <c r="B105" s="309"/>
      <c r="C105" s="310"/>
      <c r="D105" s="287"/>
      <c r="E105" s="287"/>
      <c r="F105" s="287"/>
      <c r="G105" s="310"/>
      <c r="H105" s="310"/>
      <c r="I105" s="310"/>
      <c r="J105" s="310"/>
      <c r="K105" s="310"/>
      <c r="L105" s="287"/>
      <c r="M105" s="310"/>
      <c r="N105" s="311"/>
      <c r="O105" s="310"/>
    </row>
    <row r="106">
      <c r="A106" s="287">
        <f t="shared" si="2"/>
        <v>104</v>
      </c>
      <c r="B106" s="309"/>
      <c r="C106" s="310"/>
      <c r="D106" s="287"/>
      <c r="E106" s="287"/>
      <c r="F106" s="287"/>
      <c r="G106" s="310"/>
      <c r="H106" s="310"/>
      <c r="I106" s="310"/>
      <c r="J106" s="310"/>
      <c r="K106" s="310"/>
      <c r="L106" s="287"/>
      <c r="M106" s="310"/>
      <c r="N106" s="311"/>
      <c r="O106" s="310"/>
    </row>
    <row r="107">
      <c r="A107" s="287">
        <f t="shared" si="2"/>
        <v>105</v>
      </c>
      <c r="B107" s="309"/>
      <c r="C107" s="310"/>
      <c r="D107" s="287"/>
      <c r="E107" s="287"/>
      <c r="F107" s="287"/>
      <c r="G107" s="310"/>
      <c r="H107" s="310"/>
      <c r="I107" s="310"/>
      <c r="J107" s="310"/>
      <c r="K107" s="310"/>
      <c r="L107" s="287"/>
      <c r="M107" s="310"/>
      <c r="N107" s="311"/>
      <c r="O107" s="310"/>
    </row>
    <row r="108">
      <c r="A108" s="287">
        <f t="shared" si="2"/>
        <v>106</v>
      </c>
      <c r="B108" s="309"/>
      <c r="C108" s="310"/>
      <c r="D108" s="287"/>
      <c r="E108" s="287"/>
      <c r="F108" s="287"/>
      <c r="G108" s="310"/>
      <c r="H108" s="310"/>
      <c r="I108" s="310"/>
      <c r="J108" s="310"/>
      <c r="K108" s="310"/>
      <c r="L108" s="287"/>
      <c r="M108" s="310"/>
      <c r="N108" s="311"/>
      <c r="O108" s="310"/>
    </row>
    <row r="109">
      <c r="A109" s="287">
        <f t="shared" si="2"/>
        <v>107</v>
      </c>
      <c r="B109" s="309"/>
      <c r="C109" s="310"/>
      <c r="D109" s="287"/>
      <c r="E109" s="287"/>
      <c r="F109" s="287"/>
      <c r="G109" s="310"/>
      <c r="H109" s="310"/>
      <c r="I109" s="310"/>
      <c r="J109" s="310"/>
      <c r="K109" s="310"/>
      <c r="L109" s="287"/>
      <c r="M109" s="310"/>
      <c r="N109" s="311"/>
      <c r="O109" s="310"/>
    </row>
    <row r="110">
      <c r="A110" s="287">
        <f t="shared" si="2"/>
        <v>108</v>
      </c>
      <c r="B110" s="309"/>
      <c r="C110" s="310"/>
      <c r="D110" s="287"/>
      <c r="E110" s="287"/>
      <c r="F110" s="287"/>
      <c r="G110" s="310"/>
      <c r="H110" s="310"/>
      <c r="I110" s="310"/>
      <c r="J110" s="310"/>
      <c r="K110" s="310"/>
      <c r="L110" s="287"/>
      <c r="M110" s="310"/>
      <c r="N110" s="311"/>
      <c r="O110" s="310"/>
    </row>
    <row r="111">
      <c r="A111" s="287">
        <f t="shared" si="2"/>
        <v>109</v>
      </c>
      <c r="B111" s="309"/>
      <c r="C111" s="310"/>
      <c r="D111" s="287"/>
      <c r="E111" s="287"/>
      <c r="F111" s="287"/>
      <c r="G111" s="310"/>
      <c r="H111" s="310"/>
      <c r="I111" s="310"/>
      <c r="J111" s="310"/>
      <c r="K111" s="310"/>
      <c r="L111" s="287"/>
      <c r="M111" s="310"/>
      <c r="N111" s="311"/>
      <c r="O111" s="310"/>
    </row>
    <row r="112">
      <c r="A112" s="287">
        <f t="shared" si="2"/>
        <v>110</v>
      </c>
      <c r="B112" s="309"/>
      <c r="C112" s="310"/>
      <c r="D112" s="287"/>
      <c r="E112" s="287"/>
      <c r="F112" s="287"/>
      <c r="G112" s="310"/>
      <c r="H112" s="310"/>
      <c r="I112" s="310"/>
      <c r="J112" s="310"/>
      <c r="K112" s="310"/>
      <c r="L112" s="287"/>
      <c r="M112" s="310"/>
      <c r="N112" s="311"/>
      <c r="O112" s="310"/>
    </row>
    <row r="113">
      <c r="A113" s="287">
        <f t="shared" si="2"/>
        <v>111</v>
      </c>
      <c r="B113" s="309"/>
      <c r="C113" s="310"/>
      <c r="D113" s="287"/>
      <c r="E113" s="287"/>
      <c r="F113" s="287"/>
      <c r="G113" s="310"/>
      <c r="H113" s="310"/>
      <c r="I113" s="310"/>
      <c r="J113" s="310"/>
      <c r="K113" s="310"/>
      <c r="L113" s="287"/>
      <c r="M113" s="310"/>
      <c r="N113" s="311"/>
      <c r="O113" s="310"/>
    </row>
    <row r="114">
      <c r="A114" s="287">
        <f t="shared" si="2"/>
        <v>112</v>
      </c>
      <c r="B114" s="309"/>
      <c r="C114" s="310"/>
      <c r="D114" s="287"/>
      <c r="E114" s="287"/>
      <c r="F114" s="287"/>
      <c r="G114" s="310"/>
      <c r="H114" s="310"/>
      <c r="I114" s="310"/>
      <c r="J114" s="310"/>
      <c r="K114" s="310"/>
      <c r="L114" s="287"/>
      <c r="M114" s="310"/>
      <c r="N114" s="311"/>
      <c r="O114" s="310"/>
    </row>
    <row r="115">
      <c r="A115" s="287">
        <f t="shared" si="2"/>
        <v>113</v>
      </c>
      <c r="B115" s="309"/>
      <c r="C115" s="310"/>
      <c r="D115" s="287"/>
      <c r="E115" s="287"/>
      <c r="F115" s="287"/>
      <c r="G115" s="310"/>
      <c r="H115" s="310"/>
      <c r="I115" s="310"/>
      <c r="J115" s="310"/>
      <c r="K115" s="310"/>
      <c r="L115" s="287"/>
      <c r="M115" s="310"/>
      <c r="N115" s="311"/>
      <c r="O115" s="310"/>
    </row>
    <row r="116">
      <c r="A116" s="287">
        <f t="shared" si="2"/>
        <v>114</v>
      </c>
      <c r="B116" s="309"/>
      <c r="C116" s="310"/>
      <c r="D116" s="287"/>
      <c r="E116" s="287"/>
      <c r="F116" s="287"/>
      <c r="G116" s="310"/>
      <c r="H116" s="310"/>
      <c r="I116" s="310"/>
      <c r="J116" s="310"/>
      <c r="K116" s="310"/>
      <c r="L116" s="287"/>
      <c r="M116" s="310"/>
      <c r="N116" s="311"/>
      <c r="O116" s="310"/>
    </row>
    <row r="117">
      <c r="A117" s="287">
        <f t="shared" si="2"/>
        <v>115</v>
      </c>
      <c r="B117" s="309"/>
      <c r="C117" s="310"/>
      <c r="D117" s="287"/>
      <c r="E117" s="287"/>
      <c r="F117" s="287"/>
      <c r="G117" s="310"/>
      <c r="H117" s="310"/>
      <c r="I117" s="310"/>
      <c r="J117" s="310"/>
      <c r="K117" s="310"/>
      <c r="L117" s="287"/>
      <c r="M117" s="310"/>
      <c r="N117" s="311"/>
      <c r="O117" s="310"/>
    </row>
    <row r="118">
      <c r="A118" s="287">
        <f t="shared" si="2"/>
        <v>116</v>
      </c>
      <c r="B118" s="309"/>
      <c r="C118" s="310"/>
      <c r="D118" s="287"/>
      <c r="E118" s="287"/>
      <c r="F118" s="287"/>
      <c r="G118" s="310"/>
      <c r="H118" s="310"/>
      <c r="I118" s="310"/>
      <c r="J118" s="310"/>
      <c r="K118" s="310"/>
      <c r="L118" s="287"/>
      <c r="M118" s="310"/>
      <c r="N118" s="311"/>
      <c r="O118" s="310"/>
    </row>
    <row r="119">
      <c r="A119" s="287">
        <f t="shared" si="2"/>
        <v>117</v>
      </c>
      <c r="B119" s="309"/>
      <c r="C119" s="310"/>
      <c r="D119" s="287"/>
      <c r="E119" s="287"/>
      <c r="F119" s="287"/>
      <c r="G119" s="310"/>
      <c r="H119" s="310"/>
      <c r="I119" s="310"/>
      <c r="J119" s="310"/>
      <c r="K119" s="310"/>
      <c r="L119" s="287"/>
      <c r="M119" s="310"/>
      <c r="N119" s="311"/>
      <c r="O119" s="310"/>
    </row>
    <row r="120">
      <c r="A120" s="287">
        <f t="shared" si="2"/>
        <v>118</v>
      </c>
      <c r="B120" s="309"/>
      <c r="C120" s="310"/>
      <c r="D120" s="287"/>
      <c r="E120" s="287"/>
      <c r="F120" s="287"/>
      <c r="G120" s="310"/>
      <c r="H120" s="310"/>
      <c r="I120" s="310"/>
      <c r="J120" s="310"/>
      <c r="K120" s="310"/>
      <c r="L120" s="287"/>
      <c r="M120" s="310"/>
      <c r="N120" s="311"/>
      <c r="O120" s="310"/>
    </row>
    <row r="121">
      <c r="A121" s="287">
        <f t="shared" si="2"/>
        <v>119</v>
      </c>
      <c r="B121" s="309"/>
      <c r="C121" s="310"/>
      <c r="D121" s="287"/>
      <c r="E121" s="287"/>
      <c r="F121" s="287"/>
      <c r="G121" s="310"/>
      <c r="H121" s="310"/>
      <c r="I121" s="310"/>
      <c r="J121" s="310"/>
      <c r="K121" s="310"/>
      <c r="L121" s="287"/>
      <c r="M121" s="310"/>
      <c r="N121" s="311"/>
      <c r="O121" s="310"/>
    </row>
    <row r="122">
      <c r="A122" s="287">
        <f t="shared" si="2"/>
        <v>120</v>
      </c>
      <c r="B122" s="309"/>
      <c r="C122" s="310"/>
      <c r="D122" s="287"/>
      <c r="E122" s="287"/>
      <c r="F122" s="287"/>
      <c r="G122" s="310"/>
      <c r="H122" s="310"/>
      <c r="I122" s="310"/>
      <c r="J122" s="310"/>
      <c r="K122" s="310"/>
      <c r="L122" s="287"/>
      <c r="M122" s="310"/>
      <c r="N122" s="311"/>
      <c r="O122" s="310"/>
    </row>
    <row r="123">
      <c r="A123" s="287">
        <f t="shared" si="2"/>
        <v>121</v>
      </c>
      <c r="B123" s="309"/>
      <c r="C123" s="310"/>
      <c r="D123" s="287"/>
      <c r="E123" s="287"/>
      <c r="F123" s="287"/>
      <c r="G123" s="310"/>
      <c r="H123" s="310"/>
      <c r="I123" s="310"/>
      <c r="J123" s="310"/>
      <c r="K123" s="310"/>
      <c r="L123" s="287"/>
      <c r="M123" s="310"/>
      <c r="N123" s="311"/>
      <c r="O123" s="310"/>
    </row>
    <row r="124">
      <c r="A124" s="287">
        <f t="shared" si="2"/>
        <v>122</v>
      </c>
      <c r="B124" s="309"/>
      <c r="C124" s="310"/>
      <c r="D124" s="287"/>
      <c r="E124" s="287"/>
      <c r="F124" s="287"/>
      <c r="G124" s="310"/>
      <c r="H124" s="310"/>
      <c r="I124" s="310"/>
      <c r="J124" s="310"/>
      <c r="K124" s="310"/>
      <c r="L124" s="287"/>
      <c r="M124" s="310"/>
      <c r="N124" s="311"/>
      <c r="O124" s="310"/>
    </row>
    <row r="125">
      <c r="A125" s="287">
        <f t="shared" si="2"/>
        <v>123</v>
      </c>
      <c r="B125" s="309"/>
      <c r="C125" s="310"/>
      <c r="D125" s="287"/>
      <c r="E125" s="287"/>
      <c r="F125" s="287"/>
      <c r="G125" s="310"/>
      <c r="H125" s="310"/>
      <c r="I125" s="310"/>
      <c r="J125" s="310"/>
      <c r="K125" s="310"/>
      <c r="L125" s="287"/>
      <c r="M125" s="310"/>
      <c r="N125" s="311"/>
      <c r="O125" s="310"/>
    </row>
    <row r="126">
      <c r="A126" s="287">
        <f t="shared" si="2"/>
        <v>124</v>
      </c>
      <c r="B126" s="309"/>
      <c r="C126" s="310"/>
      <c r="D126" s="287"/>
      <c r="E126" s="287"/>
      <c r="F126" s="287"/>
      <c r="G126" s="310"/>
      <c r="H126" s="310"/>
      <c r="I126" s="310"/>
      <c r="J126" s="310"/>
      <c r="K126" s="310"/>
      <c r="L126" s="287"/>
      <c r="M126" s="310"/>
      <c r="N126" s="311"/>
      <c r="O126" s="310"/>
    </row>
    <row r="127">
      <c r="A127" s="287">
        <f t="shared" si="2"/>
        <v>125</v>
      </c>
      <c r="B127" s="309"/>
      <c r="C127" s="310"/>
      <c r="D127" s="287"/>
      <c r="E127" s="287"/>
      <c r="F127" s="287"/>
      <c r="G127" s="310"/>
      <c r="H127" s="310"/>
      <c r="I127" s="310"/>
      <c r="J127" s="310"/>
      <c r="K127" s="310"/>
      <c r="L127" s="287"/>
      <c r="M127" s="310"/>
      <c r="N127" s="311"/>
      <c r="O127" s="310"/>
    </row>
    <row r="128">
      <c r="A128" s="287">
        <f t="shared" si="2"/>
        <v>126</v>
      </c>
      <c r="B128" s="309"/>
      <c r="C128" s="310"/>
      <c r="D128" s="287"/>
      <c r="E128" s="287"/>
      <c r="F128" s="287"/>
      <c r="G128" s="310"/>
      <c r="H128" s="310"/>
      <c r="I128" s="310"/>
      <c r="J128" s="310"/>
      <c r="K128" s="310"/>
      <c r="L128" s="287"/>
      <c r="M128" s="310"/>
      <c r="N128" s="311"/>
      <c r="O128" s="310"/>
    </row>
    <row r="129">
      <c r="A129" s="287">
        <f t="shared" si="2"/>
        <v>127</v>
      </c>
      <c r="B129" s="309"/>
      <c r="C129" s="310"/>
      <c r="D129" s="287"/>
      <c r="E129" s="287"/>
      <c r="F129" s="287"/>
      <c r="G129" s="310"/>
      <c r="H129" s="310"/>
      <c r="I129" s="310"/>
      <c r="J129" s="310"/>
      <c r="K129" s="310"/>
      <c r="L129" s="287"/>
      <c r="M129" s="310"/>
      <c r="N129" s="311"/>
      <c r="O129" s="310"/>
    </row>
    <row r="130">
      <c r="A130" s="287">
        <f t="shared" si="2"/>
        <v>128</v>
      </c>
      <c r="B130" s="309"/>
      <c r="C130" s="310"/>
      <c r="D130" s="287"/>
      <c r="E130" s="287"/>
      <c r="F130" s="287"/>
      <c r="G130" s="310"/>
      <c r="H130" s="310"/>
      <c r="I130" s="310"/>
      <c r="J130" s="310"/>
      <c r="K130" s="310"/>
      <c r="L130" s="287"/>
      <c r="M130" s="310"/>
      <c r="N130" s="311"/>
      <c r="O130" s="310"/>
    </row>
    <row r="131">
      <c r="A131" s="287">
        <f t="shared" si="2"/>
        <v>129</v>
      </c>
      <c r="B131" s="309"/>
      <c r="C131" s="310"/>
      <c r="D131" s="287"/>
      <c r="E131" s="287"/>
      <c r="F131" s="287"/>
      <c r="G131" s="310"/>
      <c r="H131" s="310"/>
      <c r="I131" s="310"/>
      <c r="J131" s="310"/>
      <c r="K131" s="310"/>
      <c r="L131" s="287"/>
      <c r="M131" s="310"/>
      <c r="N131" s="311"/>
      <c r="O131" s="310"/>
    </row>
    <row r="132">
      <c r="A132" s="287">
        <f t="shared" si="2"/>
        <v>130</v>
      </c>
      <c r="B132" s="309"/>
      <c r="C132" s="310"/>
      <c r="D132" s="287"/>
      <c r="E132" s="287"/>
      <c r="F132" s="287"/>
      <c r="G132" s="310"/>
      <c r="H132" s="310"/>
      <c r="I132" s="310"/>
      <c r="J132" s="310"/>
      <c r="K132" s="310"/>
      <c r="L132" s="287"/>
      <c r="M132" s="310"/>
      <c r="N132" s="311"/>
      <c r="O132" s="310"/>
    </row>
  </sheetData>
  <mergeCells count="2">
    <mergeCell ref="G1:I1"/>
    <mergeCell ref="J1:L1"/>
  </mergeCells>
  <dataValidations>
    <dataValidation type="list" allowBlank="1" showErrorMessage="1" sqref="I3:I132 L3:L132">
      <formula1>Legend!$C$2:$C$21</formula1>
    </dataValidation>
    <dataValidation type="list" allowBlank="1" sqref="C3:C132">
      <formula1>Legend!$A$2:$A$17</formula1>
    </dataValidation>
    <dataValidation type="list" allowBlank="1" showErrorMessage="1" sqref="D3:D132">
      <formula1>Legend!$B$2:$B$17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3" max="3" width="20.75"/>
    <col customWidth="1" min="4" max="4" width="21.75"/>
    <col customWidth="1" min="5" max="5" width="16.63"/>
    <col customWidth="1" min="6" max="6" width="11.75"/>
    <col customWidth="1" min="7" max="7" width="20.88"/>
    <col customWidth="1" min="8" max="8" width="20.25"/>
    <col customWidth="1" min="12" max="12" width="44.0"/>
  </cols>
  <sheetData>
    <row r="2">
      <c r="A2" s="315" t="s">
        <v>640</v>
      </c>
      <c r="B2" s="7"/>
      <c r="C2" s="7"/>
      <c r="D2" s="7"/>
      <c r="E2" s="7"/>
      <c r="F2" s="7"/>
      <c r="G2" s="7"/>
      <c r="H2" s="9"/>
    </row>
    <row r="3">
      <c r="A3" s="316" t="s">
        <v>641</v>
      </c>
      <c r="B3" s="316" t="s">
        <v>547</v>
      </c>
      <c r="C3" s="316" t="s">
        <v>29</v>
      </c>
      <c r="D3" s="316" t="s">
        <v>642</v>
      </c>
      <c r="E3" s="316" t="s">
        <v>643</v>
      </c>
      <c r="F3" s="316" t="s">
        <v>84</v>
      </c>
      <c r="G3" s="316" t="s">
        <v>302</v>
      </c>
      <c r="H3" s="316" t="s">
        <v>644</v>
      </c>
    </row>
    <row r="4">
      <c r="A4" s="317">
        <v>1.0</v>
      </c>
      <c r="B4" s="318">
        <v>45721.0</v>
      </c>
      <c r="C4" s="317" t="s">
        <v>57</v>
      </c>
      <c r="D4" s="317" t="s">
        <v>645</v>
      </c>
      <c r="E4" s="319">
        <v>7.0554150825E10</v>
      </c>
      <c r="F4" s="317">
        <v>630188.0</v>
      </c>
      <c r="G4" s="320"/>
      <c r="H4" s="317" t="s">
        <v>560</v>
      </c>
    </row>
    <row r="5">
      <c r="A5" s="43"/>
      <c r="B5" s="43"/>
      <c r="C5" s="43"/>
      <c r="D5" s="43"/>
      <c r="E5" s="319">
        <v>7.0549620825E10</v>
      </c>
      <c r="F5" s="43"/>
      <c r="G5" s="43"/>
      <c r="H5" s="43"/>
    </row>
    <row r="6">
      <c r="A6" s="317">
        <v>2.0</v>
      </c>
      <c r="B6" s="321">
        <v>45720.0</v>
      </c>
      <c r="C6" s="317" t="s">
        <v>136</v>
      </c>
      <c r="D6" s="317" t="s">
        <v>646</v>
      </c>
      <c r="E6" s="319">
        <v>7.0603740825E10</v>
      </c>
      <c r="F6" s="317">
        <v>722129.0</v>
      </c>
      <c r="G6" s="320"/>
      <c r="H6" s="317" t="s">
        <v>560</v>
      </c>
    </row>
    <row r="7">
      <c r="A7" s="43"/>
      <c r="B7" s="43"/>
      <c r="C7" s="43"/>
      <c r="D7" s="43"/>
      <c r="E7" s="322"/>
      <c r="F7" s="43"/>
      <c r="G7" s="43"/>
      <c r="H7" s="43"/>
    </row>
    <row r="8">
      <c r="A8" s="317">
        <v>3.0</v>
      </c>
      <c r="B8" s="318">
        <v>45725.0</v>
      </c>
      <c r="C8" s="317" t="s">
        <v>147</v>
      </c>
      <c r="D8" s="317" t="s">
        <v>647</v>
      </c>
      <c r="E8" s="319">
        <v>7.0640700925E10</v>
      </c>
      <c r="F8" s="317">
        <v>812185.0</v>
      </c>
      <c r="G8" s="320"/>
      <c r="H8" s="317" t="s">
        <v>560</v>
      </c>
    </row>
    <row r="9">
      <c r="A9" s="323"/>
      <c r="B9" s="323"/>
      <c r="C9" s="323"/>
      <c r="D9" s="323"/>
      <c r="E9" s="319">
        <v>7.0686590925E10</v>
      </c>
      <c r="F9" s="323"/>
      <c r="G9" s="323"/>
      <c r="H9" s="43"/>
    </row>
    <row r="10">
      <c r="A10" s="323"/>
      <c r="B10" s="323"/>
      <c r="C10" s="323"/>
      <c r="D10" s="323"/>
      <c r="E10" s="319">
        <v>7.0827290825E10</v>
      </c>
      <c r="F10" s="323"/>
      <c r="G10" s="323"/>
      <c r="H10" s="317" t="s">
        <v>560</v>
      </c>
    </row>
    <row r="11">
      <c r="A11" s="43"/>
      <c r="B11" s="43"/>
      <c r="C11" s="43"/>
      <c r="D11" s="43"/>
      <c r="E11" s="319">
        <v>7.0650370925E10</v>
      </c>
      <c r="F11" s="43"/>
      <c r="G11" s="43"/>
      <c r="H11" s="43"/>
    </row>
    <row r="12">
      <c r="A12" s="317">
        <v>4.0</v>
      </c>
      <c r="B12" s="318">
        <v>45726.0</v>
      </c>
      <c r="C12" s="317" t="s">
        <v>159</v>
      </c>
      <c r="D12" s="317" t="s">
        <v>648</v>
      </c>
      <c r="E12" s="319">
        <v>7.0557540825E10</v>
      </c>
      <c r="F12" s="320"/>
      <c r="G12" s="320"/>
      <c r="H12" s="317" t="s">
        <v>560</v>
      </c>
    </row>
    <row r="13">
      <c r="A13" s="43"/>
      <c r="B13" s="43"/>
      <c r="C13" s="43"/>
      <c r="D13" s="43"/>
      <c r="E13" s="319">
        <v>7.0219360825E10</v>
      </c>
      <c r="F13" s="43"/>
      <c r="G13" s="43"/>
      <c r="H13" s="43"/>
    </row>
    <row r="14">
      <c r="A14" s="317">
        <v>5.0</v>
      </c>
      <c r="B14" s="321">
        <v>45729.0</v>
      </c>
      <c r="C14" s="317" t="s">
        <v>93</v>
      </c>
      <c r="D14" s="317" t="s">
        <v>648</v>
      </c>
      <c r="E14" s="319">
        <v>7.0842815124E10</v>
      </c>
      <c r="F14" s="317">
        <v>745600.0</v>
      </c>
      <c r="G14" s="320"/>
      <c r="H14" s="317" t="s">
        <v>560</v>
      </c>
    </row>
    <row r="15">
      <c r="A15" s="43"/>
      <c r="B15" s="43"/>
      <c r="C15" s="43"/>
      <c r="D15" s="43"/>
      <c r="E15" s="319">
        <v>7.0634410325E10</v>
      </c>
      <c r="F15" s="43"/>
      <c r="G15" s="43"/>
      <c r="H15" s="43"/>
    </row>
    <row r="16">
      <c r="A16" s="317">
        <v>6.0</v>
      </c>
      <c r="B16" s="318">
        <v>45729.0</v>
      </c>
      <c r="C16" s="317" t="s">
        <v>120</v>
      </c>
      <c r="D16" s="317" t="s">
        <v>649</v>
      </c>
      <c r="E16" s="319">
        <v>7.0126111025E10</v>
      </c>
      <c r="F16" s="317">
        <v>681506.0</v>
      </c>
      <c r="G16" s="320"/>
      <c r="H16" s="317" t="s">
        <v>560</v>
      </c>
    </row>
    <row r="17">
      <c r="A17" s="43"/>
      <c r="B17" s="43"/>
      <c r="C17" s="43"/>
      <c r="D17" s="43"/>
      <c r="E17" s="319">
        <v>7.0556310825E10</v>
      </c>
      <c r="F17" s="43"/>
      <c r="G17" s="43"/>
      <c r="H17" s="43"/>
    </row>
    <row r="18">
      <c r="A18" s="317">
        <v>7.0</v>
      </c>
      <c r="B18" s="318">
        <v>45730.0</v>
      </c>
      <c r="C18" s="317" t="s">
        <v>160</v>
      </c>
      <c r="D18" s="317" t="s">
        <v>648</v>
      </c>
      <c r="E18" s="319">
        <v>7.0842985124E10</v>
      </c>
      <c r="F18" s="320"/>
      <c r="G18" s="320"/>
      <c r="H18" s="317" t="s">
        <v>560</v>
      </c>
    </row>
    <row r="19">
      <c r="A19" s="43"/>
      <c r="B19" s="43"/>
      <c r="C19" s="43"/>
      <c r="D19" s="43"/>
      <c r="E19" s="319">
        <v>7.0222270225E10</v>
      </c>
      <c r="F19" s="43"/>
      <c r="G19" s="43"/>
      <c r="H19" s="43"/>
    </row>
    <row r="20">
      <c r="A20" s="317">
        <v>8.0</v>
      </c>
      <c r="B20" s="324">
        <v>45734.0</v>
      </c>
      <c r="C20" s="320" t="s">
        <v>121</v>
      </c>
      <c r="D20" s="320" t="s">
        <v>650</v>
      </c>
      <c r="E20" s="322">
        <v>7.0789233024E10</v>
      </c>
      <c r="F20" s="320">
        <v>11029.0</v>
      </c>
      <c r="G20" s="320"/>
      <c r="H20" s="320" t="s">
        <v>560</v>
      </c>
      <c r="K20" s="325"/>
    </row>
    <row r="21">
      <c r="A21" s="43"/>
      <c r="B21" s="43"/>
      <c r="C21" s="43"/>
      <c r="D21" s="43"/>
      <c r="E21" s="322">
        <v>7.0755003024E10</v>
      </c>
      <c r="F21" s="43"/>
      <c r="G21" s="43"/>
      <c r="H21" s="43"/>
      <c r="K21" s="325"/>
      <c r="L21" s="326"/>
    </row>
    <row r="22">
      <c r="A22" s="317">
        <v>9.0</v>
      </c>
      <c r="B22" s="324">
        <v>45734.0</v>
      </c>
      <c r="C22" s="320" t="s">
        <v>121</v>
      </c>
      <c r="D22" s="320" t="s">
        <v>651</v>
      </c>
      <c r="E22" s="322">
        <v>7.0562290825E10</v>
      </c>
      <c r="F22" s="317">
        <v>11029.0</v>
      </c>
      <c r="G22" s="320"/>
      <c r="H22" s="320" t="s">
        <v>560</v>
      </c>
      <c r="K22" s="325"/>
      <c r="L22" s="326"/>
    </row>
    <row r="23">
      <c r="A23" s="43"/>
      <c r="B23" s="43"/>
      <c r="C23" s="43"/>
      <c r="D23" s="43"/>
      <c r="E23" s="322">
        <v>7.0877225124E10</v>
      </c>
      <c r="F23" s="43"/>
      <c r="G23" s="43"/>
      <c r="H23" s="43"/>
      <c r="K23" s="325"/>
      <c r="L23" s="326"/>
    </row>
    <row r="24">
      <c r="A24" s="317">
        <v>10.0</v>
      </c>
      <c r="B24" s="321">
        <v>45735.0</v>
      </c>
      <c r="C24" s="317" t="s">
        <v>136</v>
      </c>
      <c r="D24" s="317" t="s">
        <v>648</v>
      </c>
      <c r="E24" s="319">
        <v>7.0604800825E10</v>
      </c>
      <c r="F24" s="317">
        <v>726801.0</v>
      </c>
      <c r="G24" s="320"/>
      <c r="H24" s="320" t="s">
        <v>560</v>
      </c>
      <c r="K24" s="325"/>
      <c r="L24" s="326"/>
    </row>
    <row r="25">
      <c r="A25" s="43"/>
      <c r="B25" s="43"/>
      <c r="C25" s="43"/>
      <c r="D25" s="43"/>
      <c r="E25" s="319">
        <v>7.0547210825E10</v>
      </c>
      <c r="F25" s="43"/>
      <c r="G25" s="43"/>
      <c r="H25" s="43"/>
      <c r="K25" s="325"/>
      <c r="L25" s="326"/>
    </row>
    <row r="26">
      <c r="A26" s="317">
        <v>11.0</v>
      </c>
      <c r="B26" s="318">
        <v>45737.0</v>
      </c>
      <c r="C26" s="317" t="s">
        <v>120</v>
      </c>
      <c r="D26" s="317" t="s">
        <v>651</v>
      </c>
      <c r="E26" s="319">
        <v>7.0916220825E10</v>
      </c>
      <c r="F26" s="317">
        <v>684037.0</v>
      </c>
      <c r="G26" s="317" t="s">
        <v>582</v>
      </c>
      <c r="H26" s="317" t="s">
        <v>560</v>
      </c>
      <c r="K26" s="325"/>
      <c r="L26" s="326"/>
    </row>
    <row r="27">
      <c r="A27" s="43"/>
      <c r="B27" s="43"/>
      <c r="C27" s="43"/>
      <c r="D27" s="43"/>
      <c r="E27" s="319">
        <v>7.0827731125E10</v>
      </c>
      <c r="F27" s="43"/>
      <c r="G27" s="43"/>
      <c r="H27" s="43"/>
      <c r="K27" s="325"/>
      <c r="L27" s="326"/>
    </row>
    <row r="28">
      <c r="A28" s="317">
        <v>12.0</v>
      </c>
      <c r="B28" s="318">
        <v>45737.0</v>
      </c>
      <c r="C28" s="317" t="s">
        <v>104</v>
      </c>
      <c r="D28" s="317" t="s">
        <v>649</v>
      </c>
      <c r="E28" s="319">
        <v>7.0467831125E10</v>
      </c>
      <c r="F28" s="317">
        <v>422842.0</v>
      </c>
      <c r="G28" s="320"/>
      <c r="H28" s="320" t="s">
        <v>560</v>
      </c>
      <c r="K28" s="325"/>
      <c r="L28" s="326"/>
    </row>
    <row r="29">
      <c r="A29" s="43"/>
      <c r="B29" s="43"/>
      <c r="C29" s="43"/>
      <c r="D29" s="43"/>
      <c r="E29" s="319">
        <v>7.0413970825E10</v>
      </c>
      <c r="F29" s="43"/>
      <c r="G29" s="43"/>
      <c r="H29" s="43"/>
      <c r="K29" s="325"/>
      <c r="L29" s="326"/>
    </row>
    <row r="30">
      <c r="A30" s="317">
        <v>13.0</v>
      </c>
      <c r="B30" s="321">
        <v>45737.0</v>
      </c>
      <c r="C30" s="317" t="s">
        <v>93</v>
      </c>
      <c r="D30" s="317" t="s">
        <v>648</v>
      </c>
      <c r="E30" s="319">
        <v>7.0817401125E10</v>
      </c>
      <c r="F30" s="317">
        <v>748372.0</v>
      </c>
      <c r="G30" s="317" t="s">
        <v>583</v>
      </c>
      <c r="H30" s="317" t="s">
        <v>560</v>
      </c>
      <c r="K30" s="325"/>
      <c r="L30" s="326"/>
    </row>
    <row r="31">
      <c r="A31" s="43"/>
      <c r="B31" s="43"/>
      <c r="C31" s="43"/>
      <c r="D31" s="43"/>
      <c r="E31" s="319">
        <v>7.083319125E9</v>
      </c>
      <c r="F31" s="43"/>
      <c r="G31" s="43"/>
      <c r="H31" s="43"/>
      <c r="K31" s="325"/>
      <c r="L31" s="326"/>
    </row>
    <row r="32">
      <c r="A32" s="317">
        <v>14.0</v>
      </c>
      <c r="B32" s="321">
        <v>45737.0</v>
      </c>
      <c r="C32" s="317" t="s">
        <v>93</v>
      </c>
      <c r="D32" s="317" t="s">
        <v>649</v>
      </c>
      <c r="E32" s="319">
        <v>7.0432851125E10</v>
      </c>
      <c r="F32" s="317">
        <v>748372.0</v>
      </c>
      <c r="G32" s="317" t="s">
        <v>583</v>
      </c>
      <c r="H32" s="317" t="s">
        <v>560</v>
      </c>
      <c r="K32" s="325"/>
      <c r="L32" s="326"/>
    </row>
    <row r="33">
      <c r="A33" s="43"/>
      <c r="B33" s="43"/>
      <c r="C33" s="43"/>
      <c r="D33" s="43"/>
      <c r="E33" s="319">
        <v>7.0603961125E10</v>
      </c>
      <c r="F33" s="43"/>
      <c r="G33" s="43"/>
      <c r="H33" s="43"/>
    </row>
    <row r="34">
      <c r="A34" s="317">
        <v>15.0</v>
      </c>
      <c r="B34" s="321">
        <v>45739.0</v>
      </c>
      <c r="C34" s="317" t="s">
        <v>168</v>
      </c>
      <c r="D34" s="317" t="s">
        <v>649</v>
      </c>
      <c r="E34" s="319">
        <v>7.0293970625E10</v>
      </c>
      <c r="F34" s="320"/>
      <c r="G34" s="317"/>
      <c r="H34" s="317" t="s">
        <v>560</v>
      </c>
    </row>
    <row r="35">
      <c r="A35" s="43"/>
      <c r="B35" s="43"/>
      <c r="C35" s="43"/>
      <c r="D35" s="43"/>
      <c r="E35" s="319">
        <v>7.0337330625E10</v>
      </c>
      <c r="F35" s="43"/>
      <c r="G35" s="43"/>
      <c r="H35" s="43"/>
    </row>
    <row r="36">
      <c r="A36" s="317">
        <v>16.0</v>
      </c>
      <c r="B36" s="318">
        <v>45739.0</v>
      </c>
      <c r="C36" s="317" t="s">
        <v>121</v>
      </c>
      <c r="D36" s="317" t="s">
        <v>648</v>
      </c>
      <c r="E36" s="319">
        <v>7.0787001125E10</v>
      </c>
      <c r="F36" s="320"/>
      <c r="G36" s="317" t="s">
        <v>584</v>
      </c>
      <c r="H36" s="317" t="s">
        <v>560</v>
      </c>
    </row>
    <row r="37">
      <c r="A37" s="43"/>
      <c r="B37" s="43"/>
      <c r="C37" s="43"/>
      <c r="D37" s="43"/>
      <c r="E37" s="319">
        <v>7.0787841125E10</v>
      </c>
      <c r="F37" s="43"/>
      <c r="G37" s="43"/>
      <c r="H37" s="43"/>
    </row>
    <row r="38">
      <c r="A38" s="317">
        <v>17.0</v>
      </c>
      <c r="B38" s="321">
        <v>45742.0</v>
      </c>
      <c r="C38" s="317" t="s">
        <v>208</v>
      </c>
      <c r="D38" s="317" t="s">
        <v>648</v>
      </c>
      <c r="E38" s="319">
        <v>7.0246810925E10</v>
      </c>
      <c r="F38" s="353"/>
      <c r="G38" s="317" t="s">
        <v>585</v>
      </c>
      <c r="H38" s="317" t="s">
        <v>560</v>
      </c>
    </row>
    <row r="39">
      <c r="A39" s="43"/>
      <c r="B39" s="43"/>
      <c r="C39" s="43"/>
      <c r="D39" s="43"/>
      <c r="E39" s="319">
        <v>7.0292100925E10</v>
      </c>
      <c r="F39" s="354"/>
      <c r="G39" s="43"/>
      <c r="H39" s="43"/>
    </row>
    <row r="40">
      <c r="A40" s="317">
        <v>18.0</v>
      </c>
      <c r="B40" s="318">
        <v>45742.0</v>
      </c>
      <c r="C40" s="317" t="s">
        <v>104</v>
      </c>
      <c r="D40" s="317" t="s">
        <v>648</v>
      </c>
      <c r="E40" s="319">
        <v>7.0588350825E10</v>
      </c>
      <c r="F40" s="317">
        <v>424210.0</v>
      </c>
      <c r="G40" s="317" t="s">
        <v>588</v>
      </c>
      <c r="H40" s="317" t="s">
        <v>560</v>
      </c>
    </row>
    <row r="41">
      <c r="A41" s="43"/>
      <c r="B41" s="43"/>
      <c r="C41" s="43"/>
      <c r="D41" s="43"/>
      <c r="E41" s="319">
        <v>7.0468031225E10</v>
      </c>
      <c r="F41" s="43"/>
      <c r="G41" s="43"/>
      <c r="H41" s="43"/>
    </row>
    <row r="42">
      <c r="A42" s="317">
        <v>19.0</v>
      </c>
      <c r="B42" s="318">
        <v>45743.0</v>
      </c>
      <c r="C42" s="317" t="s">
        <v>57</v>
      </c>
      <c r="D42" s="317" t="s">
        <v>649</v>
      </c>
      <c r="E42" s="319">
        <v>7.0477131225E10</v>
      </c>
      <c r="F42" s="317">
        <v>637350.0</v>
      </c>
      <c r="G42" s="317" t="s">
        <v>589</v>
      </c>
      <c r="H42" s="317" t="s">
        <v>560</v>
      </c>
    </row>
    <row r="43">
      <c r="A43" s="43"/>
      <c r="B43" s="43"/>
      <c r="C43" s="43"/>
      <c r="D43" s="43"/>
      <c r="E43" s="319">
        <v>7.0435391225E10</v>
      </c>
      <c r="F43" s="43"/>
      <c r="G43" s="43"/>
      <c r="H43" s="43"/>
    </row>
    <row r="44">
      <c r="A44" s="317">
        <v>20.0</v>
      </c>
      <c r="B44" s="321">
        <v>45745.0</v>
      </c>
      <c r="C44" s="317" t="s">
        <v>143</v>
      </c>
      <c r="D44" s="317" t="s">
        <v>672</v>
      </c>
      <c r="E44" s="319">
        <v>7.0569840925E10</v>
      </c>
      <c r="F44" s="317">
        <v>737235.0</v>
      </c>
      <c r="G44" s="317" t="s">
        <v>590</v>
      </c>
      <c r="H44" s="317" t="s">
        <v>560</v>
      </c>
    </row>
    <row r="45">
      <c r="A45" s="43"/>
      <c r="B45" s="43"/>
      <c r="C45" s="43"/>
      <c r="D45" s="43"/>
      <c r="E45" s="358">
        <v>7.000919426E9</v>
      </c>
      <c r="F45" s="43"/>
      <c r="G45" s="43"/>
      <c r="H45" s="43"/>
    </row>
    <row r="46">
      <c r="A46" s="317">
        <v>21.0</v>
      </c>
      <c r="B46" s="321">
        <v>45745.0</v>
      </c>
      <c r="C46" s="317" t="s">
        <v>143</v>
      </c>
      <c r="D46" s="317" t="s">
        <v>645</v>
      </c>
      <c r="E46" s="359">
        <v>7.0190231225E10</v>
      </c>
      <c r="F46" s="317">
        <v>737235.0</v>
      </c>
      <c r="G46" s="317" t="s">
        <v>590</v>
      </c>
      <c r="H46" s="317" t="s">
        <v>560</v>
      </c>
    </row>
    <row r="47">
      <c r="A47" s="43"/>
      <c r="B47" s="43"/>
      <c r="C47" s="43"/>
      <c r="D47" s="43"/>
      <c r="E47" s="319">
        <v>7.0611290825E10</v>
      </c>
      <c r="F47" s="43"/>
      <c r="G47" s="43"/>
      <c r="H47" s="43"/>
    </row>
    <row r="48">
      <c r="A48" s="317">
        <v>22.0</v>
      </c>
      <c r="B48" s="321">
        <v>45746.0</v>
      </c>
      <c r="C48" s="317" t="s">
        <v>132</v>
      </c>
      <c r="D48" s="317" t="s">
        <v>648</v>
      </c>
      <c r="E48" s="319">
        <v>7.0245090925E10</v>
      </c>
      <c r="F48" s="317">
        <v>624982.0</v>
      </c>
      <c r="G48" s="317" t="s">
        <v>583</v>
      </c>
      <c r="H48" s="317" t="s">
        <v>560</v>
      </c>
    </row>
    <row r="49">
      <c r="A49" s="43"/>
      <c r="B49" s="43"/>
      <c r="C49" s="43"/>
      <c r="D49" s="43"/>
      <c r="E49" s="319">
        <v>7.0350110925E10</v>
      </c>
      <c r="F49" s="43"/>
      <c r="G49" s="43"/>
      <c r="H49" s="43"/>
    </row>
    <row r="50">
      <c r="A50" s="317">
        <v>23.0</v>
      </c>
      <c r="B50" s="321">
        <v>45746.0</v>
      </c>
      <c r="C50" s="317" t="s">
        <v>132</v>
      </c>
      <c r="D50" s="317" t="s">
        <v>649</v>
      </c>
      <c r="E50" s="319">
        <v>7.0003084924E10</v>
      </c>
      <c r="F50" s="317">
        <v>624982.0</v>
      </c>
      <c r="G50" s="317" t="s">
        <v>583</v>
      </c>
      <c r="H50" s="317" t="s">
        <v>560</v>
      </c>
    </row>
    <row r="51">
      <c r="A51" s="43"/>
      <c r="B51" s="43"/>
      <c r="C51" s="43"/>
      <c r="D51" s="43"/>
      <c r="E51" s="319">
        <v>7.0754973024E10</v>
      </c>
      <c r="F51" s="43"/>
      <c r="G51" s="43"/>
      <c r="H51" s="43"/>
    </row>
    <row r="52">
      <c r="A52" s="319">
        <v>24.0</v>
      </c>
      <c r="B52" s="322"/>
      <c r="C52" s="322"/>
      <c r="D52" s="322"/>
      <c r="E52" s="322"/>
      <c r="F52" s="322"/>
      <c r="G52" s="322"/>
      <c r="H52" s="322"/>
    </row>
    <row r="53">
      <c r="A53" s="319">
        <v>25.0</v>
      </c>
      <c r="B53" s="322"/>
      <c r="C53" s="322"/>
      <c r="D53" s="322"/>
      <c r="E53" s="322"/>
      <c r="F53" s="322"/>
      <c r="G53" s="322"/>
      <c r="H53" s="322"/>
    </row>
    <row r="54">
      <c r="A54" s="319">
        <v>26.0</v>
      </c>
      <c r="B54" s="322"/>
      <c r="C54" s="322"/>
      <c r="D54" s="322"/>
      <c r="E54" s="322"/>
      <c r="F54" s="322"/>
      <c r="G54" s="322"/>
      <c r="H54" s="322"/>
    </row>
    <row r="55">
      <c r="A55" s="319">
        <v>27.0</v>
      </c>
      <c r="B55" s="322"/>
      <c r="C55" s="322"/>
      <c r="D55" s="322"/>
      <c r="E55" s="322"/>
      <c r="F55" s="322"/>
      <c r="G55" s="322"/>
      <c r="H55" s="322"/>
    </row>
    <row r="56">
      <c r="A56" s="319">
        <v>28.0</v>
      </c>
      <c r="B56" s="322"/>
      <c r="C56" s="322"/>
      <c r="D56" s="322"/>
      <c r="E56" s="322"/>
      <c r="F56" s="322"/>
      <c r="G56" s="322"/>
      <c r="H56" s="322"/>
    </row>
    <row r="57">
      <c r="A57" s="361">
        <v>29.0</v>
      </c>
      <c r="B57" s="322"/>
      <c r="C57" s="322"/>
      <c r="D57" s="322"/>
      <c r="E57" s="322"/>
      <c r="F57" s="322"/>
      <c r="G57" s="322"/>
      <c r="H57" s="322"/>
    </row>
    <row r="58">
      <c r="A58" s="319">
        <v>30.0</v>
      </c>
      <c r="B58" s="322"/>
      <c r="C58" s="322"/>
      <c r="D58" s="322"/>
      <c r="E58" s="322"/>
      <c r="F58" s="322"/>
      <c r="G58" s="322"/>
      <c r="H58" s="322"/>
    </row>
    <row r="59">
      <c r="B59" s="322"/>
      <c r="C59" s="322"/>
      <c r="D59" s="322"/>
      <c r="E59" s="322"/>
      <c r="F59" s="322"/>
      <c r="G59" s="322"/>
      <c r="H59" s="322"/>
    </row>
    <row r="60">
      <c r="A60" s="322"/>
      <c r="B60" s="322"/>
      <c r="C60" s="322"/>
      <c r="D60" s="322"/>
      <c r="E60" s="322"/>
      <c r="F60" s="322"/>
      <c r="G60" s="322"/>
      <c r="H60" s="322"/>
    </row>
    <row r="61">
      <c r="A61" s="322"/>
      <c r="B61" s="322"/>
      <c r="C61" s="322"/>
      <c r="D61" s="322"/>
      <c r="E61" s="322"/>
      <c r="F61" s="322"/>
      <c r="G61" s="322"/>
      <c r="H61" s="322"/>
    </row>
    <row r="62">
      <c r="A62" s="322"/>
      <c r="B62" s="322"/>
      <c r="C62" s="322"/>
      <c r="D62" s="322"/>
      <c r="E62" s="322"/>
      <c r="F62" s="322"/>
      <c r="G62" s="322"/>
      <c r="H62" s="322"/>
    </row>
    <row r="63">
      <c r="A63" s="322"/>
      <c r="B63" s="322"/>
      <c r="C63" s="322"/>
      <c r="D63" s="322"/>
      <c r="E63" s="322"/>
      <c r="F63" s="322"/>
      <c r="G63" s="322"/>
      <c r="H63" s="322"/>
    </row>
    <row r="64">
      <c r="A64" s="322"/>
      <c r="B64" s="322"/>
      <c r="C64" s="322"/>
      <c r="D64" s="322"/>
      <c r="E64" s="322"/>
      <c r="F64" s="322"/>
      <c r="G64" s="322"/>
      <c r="H64" s="322"/>
    </row>
    <row r="65">
      <c r="A65" s="322"/>
      <c r="B65" s="322"/>
      <c r="C65" s="322"/>
      <c r="D65" s="322"/>
      <c r="E65" s="322"/>
      <c r="F65" s="322"/>
      <c r="G65" s="322"/>
      <c r="H65" s="322"/>
    </row>
    <row r="66">
      <c r="A66" s="322"/>
      <c r="B66" s="322"/>
      <c r="C66" s="322"/>
      <c r="D66" s="322"/>
      <c r="E66" s="322"/>
      <c r="F66" s="322"/>
      <c r="G66" s="322"/>
      <c r="H66" s="322"/>
    </row>
    <row r="67">
      <c r="A67" s="322"/>
      <c r="B67" s="322"/>
      <c r="C67" s="322"/>
      <c r="D67" s="322"/>
      <c r="E67" s="322"/>
      <c r="F67" s="322"/>
      <c r="G67" s="322"/>
      <c r="H67" s="322"/>
    </row>
    <row r="68">
      <c r="A68" s="322"/>
      <c r="B68" s="322"/>
      <c r="C68" s="322"/>
      <c r="D68" s="322"/>
      <c r="E68" s="322"/>
      <c r="F68" s="322"/>
      <c r="G68" s="322"/>
      <c r="H68" s="322"/>
    </row>
    <row r="74">
      <c r="A74" s="362" t="s">
        <v>640</v>
      </c>
      <c r="B74" s="7"/>
      <c r="C74" s="7"/>
      <c r="D74" s="7"/>
      <c r="E74" s="7"/>
      <c r="F74" s="7"/>
      <c r="G74" s="7"/>
      <c r="H74" s="9"/>
    </row>
    <row r="75">
      <c r="A75" s="363" t="s">
        <v>641</v>
      </c>
      <c r="B75" s="363" t="s">
        <v>547</v>
      </c>
      <c r="C75" s="363" t="s">
        <v>29</v>
      </c>
      <c r="D75" s="363" t="s">
        <v>642</v>
      </c>
      <c r="E75" s="363" t="s">
        <v>643</v>
      </c>
      <c r="F75" s="363" t="s">
        <v>84</v>
      </c>
      <c r="G75" s="363" t="s">
        <v>302</v>
      </c>
      <c r="H75" s="363" t="s">
        <v>644</v>
      </c>
      <c r="J75" s="2" t="s">
        <v>682</v>
      </c>
    </row>
    <row r="76">
      <c r="A76" s="364">
        <v>1.0</v>
      </c>
      <c r="B76" s="365">
        <v>45752.0</v>
      </c>
      <c r="C76" s="364" t="s">
        <v>57</v>
      </c>
      <c r="D76" s="364" t="s">
        <v>648</v>
      </c>
      <c r="E76" s="366">
        <v>7.0484650825E10</v>
      </c>
      <c r="F76" s="364">
        <v>640491.0</v>
      </c>
      <c r="G76" s="364" t="s">
        <v>595</v>
      </c>
      <c r="H76" s="364" t="s">
        <v>560</v>
      </c>
    </row>
    <row r="77">
      <c r="A77" s="43"/>
      <c r="B77" s="43"/>
      <c r="C77" s="43"/>
      <c r="D77" s="43"/>
      <c r="E77" s="366">
        <v>7.0562160825E10</v>
      </c>
      <c r="F77" s="43"/>
      <c r="G77" s="43"/>
      <c r="H77" s="43"/>
      <c r="I77" s="2" t="s">
        <v>684</v>
      </c>
      <c r="J77" s="2" t="s">
        <v>685</v>
      </c>
    </row>
    <row r="78">
      <c r="A78" s="364">
        <v>2.0</v>
      </c>
      <c r="B78" s="365">
        <v>45755.0</v>
      </c>
      <c r="C78" s="364" t="s">
        <v>121</v>
      </c>
      <c r="D78" s="364" t="s">
        <v>649</v>
      </c>
      <c r="E78" s="366">
        <v>7.0014024924E10</v>
      </c>
      <c r="F78" s="364">
        <v>16430.0</v>
      </c>
      <c r="G78" s="367"/>
      <c r="H78" s="364" t="s">
        <v>560</v>
      </c>
    </row>
    <row r="79">
      <c r="A79" s="43"/>
      <c r="B79" s="43"/>
      <c r="C79" s="43"/>
      <c r="D79" s="43"/>
      <c r="E79" s="366">
        <v>7.0596961225E10</v>
      </c>
      <c r="F79" s="43"/>
      <c r="G79" s="43"/>
      <c r="H79" s="43"/>
      <c r="I79" s="2" t="s">
        <v>687</v>
      </c>
      <c r="J79" s="2" t="s">
        <v>688</v>
      </c>
    </row>
    <row r="80">
      <c r="A80" s="364">
        <v>3.0</v>
      </c>
      <c r="B80" s="365">
        <v>45755.0</v>
      </c>
      <c r="C80" s="364" t="s">
        <v>120</v>
      </c>
      <c r="D80" s="364" t="s">
        <v>648</v>
      </c>
      <c r="E80" s="366">
        <v>7.0248180925E10</v>
      </c>
      <c r="F80" s="364">
        <v>689669.0</v>
      </c>
      <c r="G80" s="367"/>
      <c r="H80" s="364" t="s">
        <v>506</v>
      </c>
    </row>
    <row r="81">
      <c r="A81" s="43"/>
      <c r="B81" s="43"/>
      <c r="C81" s="43"/>
      <c r="D81" s="43"/>
      <c r="E81" s="366">
        <v>7.0351150925E10</v>
      </c>
      <c r="F81" s="43"/>
      <c r="G81" s="43"/>
      <c r="H81" s="43"/>
    </row>
    <row r="82">
      <c r="A82" s="364">
        <v>4.0</v>
      </c>
      <c r="B82" s="365">
        <v>45763.0</v>
      </c>
      <c r="C82" s="364" t="s">
        <v>159</v>
      </c>
      <c r="D82" s="364" t="s">
        <v>648</v>
      </c>
      <c r="E82" s="366">
        <v>7.0602521225E10</v>
      </c>
      <c r="F82" s="364">
        <v>199230.0</v>
      </c>
      <c r="G82" s="367"/>
      <c r="H82" s="364" t="s">
        <v>560</v>
      </c>
    </row>
    <row r="83">
      <c r="A83" s="323"/>
      <c r="B83" s="323"/>
      <c r="C83" s="323"/>
      <c r="D83" s="43"/>
      <c r="E83" s="366">
        <v>7.0274961425E10</v>
      </c>
      <c r="F83" s="43"/>
      <c r="G83" s="43"/>
      <c r="H83" s="43"/>
    </row>
    <row r="84">
      <c r="A84" s="323"/>
      <c r="B84" s="323"/>
      <c r="C84" s="323"/>
      <c r="D84" s="364" t="s">
        <v>649</v>
      </c>
      <c r="E84" s="366">
        <v>7.0388061425E10</v>
      </c>
      <c r="F84" s="364">
        <v>199230.0</v>
      </c>
      <c r="G84" s="367"/>
      <c r="H84" s="364" t="s">
        <v>560</v>
      </c>
    </row>
    <row r="85">
      <c r="A85" s="43"/>
      <c r="B85" s="43"/>
      <c r="C85" s="43"/>
      <c r="D85" s="43"/>
      <c r="E85" s="366">
        <v>7.0600031225E10</v>
      </c>
      <c r="F85" s="43"/>
      <c r="G85" s="43"/>
      <c r="H85" s="43"/>
    </row>
    <row r="86">
      <c r="A86" s="364">
        <v>5.0</v>
      </c>
      <c r="B86" s="365"/>
      <c r="C86" s="364"/>
      <c r="D86" s="364"/>
      <c r="E86" s="366"/>
      <c r="F86" s="364"/>
      <c r="G86" s="367"/>
      <c r="H86" s="364"/>
    </row>
    <row r="87">
      <c r="A87" s="43"/>
      <c r="B87" s="43"/>
      <c r="C87" s="43"/>
      <c r="D87" s="43"/>
      <c r="E87" s="366"/>
      <c r="F87" s="43"/>
      <c r="G87" s="43"/>
      <c r="H87" s="43"/>
    </row>
    <row r="88">
      <c r="A88" s="364">
        <v>6.0</v>
      </c>
      <c r="B88" s="365"/>
      <c r="C88" s="364"/>
      <c r="D88" s="364"/>
      <c r="E88" s="366"/>
      <c r="F88" s="367"/>
      <c r="G88" s="367"/>
      <c r="H88" s="364"/>
    </row>
    <row r="89">
      <c r="A89" s="43"/>
      <c r="B89" s="43"/>
      <c r="C89" s="43"/>
      <c r="D89" s="43"/>
      <c r="E89" s="366"/>
      <c r="F89" s="43"/>
      <c r="G89" s="43"/>
      <c r="H89" s="43"/>
    </row>
    <row r="90">
      <c r="A90" s="364">
        <v>7.0</v>
      </c>
      <c r="B90" s="368"/>
      <c r="C90" s="367"/>
      <c r="D90" s="367"/>
      <c r="E90" s="369"/>
      <c r="F90" s="367"/>
      <c r="G90" s="367"/>
      <c r="H90" s="367"/>
    </row>
    <row r="91">
      <c r="A91" s="43"/>
      <c r="B91" s="43"/>
      <c r="C91" s="43"/>
      <c r="D91" s="43"/>
      <c r="E91" s="369"/>
      <c r="F91" s="43"/>
      <c r="G91" s="43"/>
      <c r="H91" s="43"/>
    </row>
    <row r="92">
      <c r="A92" s="364">
        <v>8.0</v>
      </c>
      <c r="B92" s="368"/>
      <c r="C92" s="367"/>
      <c r="D92" s="367"/>
      <c r="E92" s="369"/>
      <c r="F92" s="364"/>
      <c r="G92" s="367"/>
      <c r="H92" s="367"/>
    </row>
    <row r="93">
      <c r="A93" s="43"/>
      <c r="B93" s="43"/>
      <c r="C93" s="43"/>
      <c r="D93" s="43"/>
      <c r="E93" s="369"/>
      <c r="F93" s="43"/>
      <c r="G93" s="43"/>
      <c r="H93" s="43"/>
    </row>
    <row r="94">
      <c r="A94" s="364">
        <v>9.0</v>
      </c>
      <c r="B94" s="365"/>
      <c r="C94" s="364"/>
      <c r="D94" s="364"/>
      <c r="E94" s="366"/>
      <c r="F94" s="364"/>
      <c r="G94" s="367"/>
      <c r="H94" s="367"/>
    </row>
    <row r="95">
      <c r="A95" s="43"/>
      <c r="B95" s="43"/>
      <c r="C95" s="43"/>
      <c r="D95" s="43"/>
      <c r="E95" s="366"/>
      <c r="F95" s="43"/>
      <c r="G95" s="43"/>
      <c r="H95" s="43"/>
    </row>
    <row r="96">
      <c r="A96" s="364">
        <v>10.0</v>
      </c>
      <c r="B96" s="365"/>
      <c r="C96" s="364"/>
      <c r="D96" s="364"/>
      <c r="E96" s="366"/>
      <c r="F96" s="364"/>
      <c r="G96" s="364"/>
      <c r="H96" s="364"/>
    </row>
    <row r="97">
      <c r="A97" s="43"/>
      <c r="B97" s="43"/>
      <c r="C97" s="43"/>
      <c r="D97" s="43"/>
      <c r="E97" s="366"/>
      <c r="F97" s="43"/>
      <c r="G97" s="43"/>
      <c r="H97" s="43"/>
    </row>
    <row r="98">
      <c r="A98" s="364">
        <v>11.0</v>
      </c>
      <c r="B98" s="365"/>
      <c r="C98" s="364"/>
      <c r="D98" s="364"/>
      <c r="E98" s="366"/>
      <c r="F98" s="364"/>
      <c r="G98" s="367"/>
      <c r="H98" s="367"/>
    </row>
    <row r="99">
      <c r="A99" s="43"/>
      <c r="B99" s="43"/>
      <c r="C99" s="43"/>
      <c r="D99" s="43"/>
      <c r="E99" s="366"/>
      <c r="F99" s="43"/>
      <c r="G99" s="43"/>
      <c r="H99" s="43"/>
    </row>
    <row r="100">
      <c r="A100" s="364">
        <v>12.0</v>
      </c>
      <c r="B100" s="365"/>
      <c r="C100" s="364"/>
      <c r="D100" s="364"/>
      <c r="E100" s="366"/>
      <c r="F100" s="364"/>
      <c r="G100" s="364"/>
      <c r="H100" s="364"/>
    </row>
    <row r="101">
      <c r="A101" s="43"/>
      <c r="B101" s="43"/>
      <c r="C101" s="43"/>
      <c r="D101" s="43"/>
      <c r="E101" s="366"/>
      <c r="F101" s="43"/>
      <c r="G101" s="43"/>
      <c r="H101" s="43"/>
    </row>
    <row r="102">
      <c r="A102" s="364">
        <v>13.0</v>
      </c>
      <c r="B102" s="365"/>
      <c r="C102" s="364"/>
      <c r="D102" s="364"/>
      <c r="E102" s="366"/>
      <c r="F102" s="364"/>
      <c r="G102" s="364"/>
      <c r="H102" s="364"/>
    </row>
    <row r="103">
      <c r="A103" s="43"/>
      <c r="B103" s="43"/>
      <c r="C103" s="43"/>
      <c r="D103" s="43"/>
      <c r="E103" s="366"/>
      <c r="F103" s="43"/>
      <c r="G103" s="43"/>
      <c r="H103" s="43"/>
    </row>
    <row r="104">
      <c r="A104" s="364">
        <v>14.0</v>
      </c>
      <c r="B104" s="365"/>
      <c r="C104" s="364"/>
      <c r="D104" s="364"/>
      <c r="E104" s="366"/>
      <c r="F104" s="367"/>
      <c r="G104" s="364"/>
      <c r="H104" s="364"/>
    </row>
    <row r="105">
      <c r="A105" s="43"/>
      <c r="B105" s="43"/>
      <c r="C105" s="43"/>
      <c r="D105" s="43"/>
      <c r="E105" s="366"/>
      <c r="F105" s="43"/>
      <c r="G105" s="43"/>
      <c r="H105" s="43"/>
    </row>
    <row r="106">
      <c r="A106" s="364">
        <v>15.0</v>
      </c>
      <c r="B106" s="365"/>
      <c r="C106" s="364"/>
      <c r="D106" s="364"/>
      <c r="E106" s="366"/>
      <c r="F106" s="367"/>
      <c r="G106" s="364"/>
      <c r="H106" s="364"/>
    </row>
    <row r="107">
      <c r="A107" s="43"/>
      <c r="B107" s="43"/>
      <c r="C107" s="43"/>
      <c r="D107" s="43"/>
      <c r="E107" s="366"/>
      <c r="F107" s="43"/>
      <c r="G107" s="43"/>
      <c r="H107" s="43"/>
    </row>
    <row r="108">
      <c r="A108" s="364">
        <v>16.0</v>
      </c>
      <c r="B108" s="365"/>
      <c r="C108" s="364"/>
      <c r="D108" s="364"/>
      <c r="E108" s="366"/>
      <c r="F108" s="371"/>
      <c r="G108" s="364"/>
      <c r="H108" s="364"/>
    </row>
    <row r="109">
      <c r="A109" s="43"/>
      <c r="B109" s="43"/>
      <c r="C109" s="43"/>
      <c r="D109" s="43"/>
      <c r="E109" s="366"/>
      <c r="F109" s="354"/>
      <c r="G109" s="43"/>
      <c r="H109" s="43"/>
    </row>
    <row r="110">
      <c r="A110" s="364">
        <v>17.0</v>
      </c>
      <c r="B110" s="365"/>
      <c r="C110" s="364"/>
      <c r="D110" s="364"/>
      <c r="E110" s="366"/>
      <c r="F110" s="364"/>
      <c r="G110" s="364"/>
      <c r="H110" s="364"/>
    </row>
    <row r="111">
      <c r="A111" s="43"/>
      <c r="B111" s="43"/>
      <c r="C111" s="43"/>
      <c r="D111" s="43"/>
      <c r="E111" s="366"/>
      <c r="F111" s="43"/>
      <c r="G111" s="43"/>
      <c r="H111" s="43"/>
    </row>
    <row r="112">
      <c r="A112" s="364">
        <v>18.0</v>
      </c>
      <c r="B112" s="365"/>
      <c r="C112" s="364"/>
      <c r="D112" s="364"/>
      <c r="E112" s="366"/>
      <c r="F112" s="364"/>
      <c r="G112" s="364"/>
      <c r="H112" s="364"/>
    </row>
    <row r="113">
      <c r="A113" s="43"/>
      <c r="B113" s="43"/>
      <c r="C113" s="43"/>
      <c r="D113" s="43"/>
      <c r="E113" s="366"/>
      <c r="F113" s="43"/>
      <c r="G113" s="43"/>
      <c r="H113" s="43"/>
    </row>
    <row r="114">
      <c r="A114" s="364">
        <v>19.0</v>
      </c>
      <c r="B114" s="365"/>
      <c r="C114" s="364"/>
      <c r="D114" s="364"/>
      <c r="E114" s="366"/>
      <c r="F114" s="364"/>
      <c r="G114" s="364"/>
      <c r="H114" s="364"/>
    </row>
    <row r="115">
      <c r="A115" s="43"/>
      <c r="B115" s="43"/>
      <c r="C115" s="43"/>
      <c r="D115" s="43"/>
      <c r="E115" s="366"/>
      <c r="F115" s="43"/>
      <c r="G115" s="43"/>
      <c r="H115" s="43"/>
    </row>
    <row r="116">
      <c r="A116" s="317">
        <v>20.0</v>
      </c>
      <c r="B116" s="321"/>
      <c r="C116" s="317"/>
      <c r="D116" s="317"/>
      <c r="E116" s="359"/>
      <c r="F116" s="317"/>
      <c r="G116" s="317"/>
      <c r="H116" s="317"/>
    </row>
    <row r="117">
      <c r="A117" s="43"/>
      <c r="B117" s="43"/>
      <c r="C117" s="43"/>
      <c r="D117" s="43"/>
      <c r="E117" s="319"/>
      <c r="F117" s="43"/>
      <c r="G117" s="43"/>
      <c r="H117" s="43"/>
    </row>
    <row r="118">
      <c r="A118" s="317">
        <v>21.0</v>
      </c>
      <c r="B118" s="321"/>
      <c r="C118" s="317"/>
      <c r="D118" s="317"/>
      <c r="E118" s="319"/>
      <c r="F118" s="317"/>
      <c r="G118" s="317"/>
      <c r="H118" s="317"/>
    </row>
    <row r="119">
      <c r="A119" s="43"/>
      <c r="B119" s="43"/>
      <c r="C119" s="43"/>
      <c r="D119" s="43"/>
      <c r="E119" s="319"/>
      <c r="F119" s="43"/>
      <c r="G119" s="43"/>
      <c r="H119" s="43"/>
    </row>
    <row r="120">
      <c r="A120" s="317">
        <v>22.0</v>
      </c>
      <c r="B120" s="321"/>
      <c r="C120" s="317"/>
      <c r="D120" s="317"/>
      <c r="E120" s="319"/>
      <c r="F120" s="317"/>
      <c r="G120" s="317"/>
      <c r="H120" s="317"/>
    </row>
    <row r="121">
      <c r="A121" s="43"/>
      <c r="B121" s="43"/>
      <c r="C121" s="43"/>
      <c r="D121" s="43"/>
      <c r="E121" s="319"/>
      <c r="F121" s="43"/>
      <c r="G121" s="43"/>
      <c r="H121" s="43"/>
    </row>
  </sheetData>
  <mergeCells count="322">
    <mergeCell ref="A16:A17"/>
    <mergeCell ref="B16:B17"/>
    <mergeCell ref="C16:C17"/>
    <mergeCell ref="D16:D17"/>
    <mergeCell ref="F16:F17"/>
    <mergeCell ref="G16:G17"/>
    <mergeCell ref="H16:H17"/>
    <mergeCell ref="A18:A19"/>
    <mergeCell ref="B18:B19"/>
    <mergeCell ref="C18:C19"/>
    <mergeCell ref="D18:D19"/>
    <mergeCell ref="F18:F19"/>
    <mergeCell ref="G18:G19"/>
    <mergeCell ref="H18:H19"/>
    <mergeCell ref="A20:A21"/>
    <mergeCell ref="B20:B21"/>
    <mergeCell ref="C20:C21"/>
    <mergeCell ref="D20:D21"/>
    <mergeCell ref="F20:F21"/>
    <mergeCell ref="G20:G21"/>
    <mergeCell ref="H20:H21"/>
    <mergeCell ref="A22:A23"/>
    <mergeCell ref="B22:B23"/>
    <mergeCell ref="C22:C23"/>
    <mergeCell ref="D22:D23"/>
    <mergeCell ref="F22:F23"/>
    <mergeCell ref="G22:G23"/>
    <mergeCell ref="H22:H23"/>
    <mergeCell ref="A24:A25"/>
    <mergeCell ref="B24:B25"/>
    <mergeCell ref="C24:C25"/>
    <mergeCell ref="D24:D25"/>
    <mergeCell ref="F24:F25"/>
    <mergeCell ref="G24:G25"/>
    <mergeCell ref="H24:H25"/>
    <mergeCell ref="A26:A27"/>
    <mergeCell ref="B26:B27"/>
    <mergeCell ref="C26:C27"/>
    <mergeCell ref="D26:D27"/>
    <mergeCell ref="F26:F27"/>
    <mergeCell ref="G26:G27"/>
    <mergeCell ref="H26:H27"/>
    <mergeCell ref="A28:A29"/>
    <mergeCell ref="B28:B29"/>
    <mergeCell ref="C28:C29"/>
    <mergeCell ref="D28:D29"/>
    <mergeCell ref="F28:F29"/>
    <mergeCell ref="G28:G29"/>
    <mergeCell ref="H28:H29"/>
    <mergeCell ref="A30:A31"/>
    <mergeCell ref="B30:B31"/>
    <mergeCell ref="C30:C31"/>
    <mergeCell ref="D30:D31"/>
    <mergeCell ref="F30:F31"/>
    <mergeCell ref="G30:G31"/>
    <mergeCell ref="H30:H31"/>
    <mergeCell ref="A32:A33"/>
    <mergeCell ref="B32:B33"/>
    <mergeCell ref="C32:C33"/>
    <mergeCell ref="D32:D33"/>
    <mergeCell ref="F32:F33"/>
    <mergeCell ref="G32:G33"/>
    <mergeCell ref="H32:H33"/>
    <mergeCell ref="A34:A35"/>
    <mergeCell ref="B34:B35"/>
    <mergeCell ref="C34:C35"/>
    <mergeCell ref="D34:D35"/>
    <mergeCell ref="F34:F35"/>
    <mergeCell ref="G34:G35"/>
    <mergeCell ref="H34:H35"/>
    <mergeCell ref="A36:A37"/>
    <mergeCell ref="B36:B37"/>
    <mergeCell ref="C36:C37"/>
    <mergeCell ref="D36:D37"/>
    <mergeCell ref="F36:F37"/>
    <mergeCell ref="G36:G37"/>
    <mergeCell ref="H36:H37"/>
    <mergeCell ref="A38:A39"/>
    <mergeCell ref="B38:B39"/>
    <mergeCell ref="C38:C39"/>
    <mergeCell ref="D38:D39"/>
    <mergeCell ref="F38:F39"/>
    <mergeCell ref="G38:G39"/>
    <mergeCell ref="H38:H39"/>
    <mergeCell ref="A40:A41"/>
    <mergeCell ref="B40:B41"/>
    <mergeCell ref="C40:C41"/>
    <mergeCell ref="D40:D41"/>
    <mergeCell ref="F40:F41"/>
    <mergeCell ref="G40:G41"/>
    <mergeCell ref="H40:H41"/>
    <mergeCell ref="A42:A43"/>
    <mergeCell ref="B42:B43"/>
    <mergeCell ref="C42:C43"/>
    <mergeCell ref="D42:D43"/>
    <mergeCell ref="F42:F43"/>
    <mergeCell ref="G42:G43"/>
    <mergeCell ref="H42:H43"/>
    <mergeCell ref="A2:H2"/>
    <mergeCell ref="B4:B5"/>
    <mergeCell ref="C4:C5"/>
    <mergeCell ref="D4:D5"/>
    <mergeCell ref="F4:F5"/>
    <mergeCell ref="G4:G5"/>
    <mergeCell ref="H4:H5"/>
    <mergeCell ref="A4:A5"/>
    <mergeCell ref="B6:B7"/>
    <mergeCell ref="C6:C7"/>
    <mergeCell ref="D6:D7"/>
    <mergeCell ref="F6:F7"/>
    <mergeCell ref="G6:G7"/>
    <mergeCell ref="H6:H7"/>
    <mergeCell ref="H8:H9"/>
    <mergeCell ref="H10:H11"/>
    <mergeCell ref="A6:A7"/>
    <mergeCell ref="A8:A11"/>
    <mergeCell ref="B8:B11"/>
    <mergeCell ref="C8:C11"/>
    <mergeCell ref="D8:D11"/>
    <mergeCell ref="F8:F11"/>
    <mergeCell ref="G8:G11"/>
    <mergeCell ref="A12:A13"/>
    <mergeCell ref="B12:B13"/>
    <mergeCell ref="C12:C13"/>
    <mergeCell ref="D12:D13"/>
    <mergeCell ref="F12:F13"/>
    <mergeCell ref="G12:G13"/>
    <mergeCell ref="H12:H13"/>
    <mergeCell ref="A14:A15"/>
    <mergeCell ref="B14:B15"/>
    <mergeCell ref="C14:C15"/>
    <mergeCell ref="D14:D15"/>
    <mergeCell ref="F14:F15"/>
    <mergeCell ref="G14:G15"/>
    <mergeCell ref="H14:H15"/>
    <mergeCell ref="G86:G87"/>
    <mergeCell ref="H86:H87"/>
    <mergeCell ref="A110:A111"/>
    <mergeCell ref="B110:B111"/>
    <mergeCell ref="C110:C111"/>
    <mergeCell ref="D110:D111"/>
    <mergeCell ref="F110:F111"/>
    <mergeCell ref="G110:G111"/>
    <mergeCell ref="H110:H111"/>
    <mergeCell ref="A112:A113"/>
    <mergeCell ref="B112:B113"/>
    <mergeCell ref="C112:C113"/>
    <mergeCell ref="D112:D113"/>
    <mergeCell ref="F112:F113"/>
    <mergeCell ref="G112:G113"/>
    <mergeCell ref="H112:H113"/>
    <mergeCell ref="A114:A115"/>
    <mergeCell ref="B114:B115"/>
    <mergeCell ref="C114:C115"/>
    <mergeCell ref="D114:D115"/>
    <mergeCell ref="F114:F115"/>
    <mergeCell ref="G114:G115"/>
    <mergeCell ref="H114:H115"/>
    <mergeCell ref="A116:A117"/>
    <mergeCell ref="B116:B117"/>
    <mergeCell ref="C116:C117"/>
    <mergeCell ref="D116:D117"/>
    <mergeCell ref="F116:F117"/>
    <mergeCell ref="G116:G117"/>
    <mergeCell ref="H116:H117"/>
    <mergeCell ref="D82:D83"/>
    <mergeCell ref="D84:D85"/>
    <mergeCell ref="A86:A87"/>
    <mergeCell ref="B86:B87"/>
    <mergeCell ref="C86:C87"/>
    <mergeCell ref="D86:D87"/>
    <mergeCell ref="F86:F87"/>
    <mergeCell ref="A88:A89"/>
    <mergeCell ref="B88:B89"/>
    <mergeCell ref="C88:C89"/>
    <mergeCell ref="D88:D89"/>
    <mergeCell ref="F88:F89"/>
    <mergeCell ref="G88:G89"/>
    <mergeCell ref="H88:H89"/>
    <mergeCell ref="A90:A91"/>
    <mergeCell ref="B90:B91"/>
    <mergeCell ref="C90:C91"/>
    <mergeCell ref="D90:D91"/>
    <mergeCell ref="F90:F91"/>
    <mergeCell ref="G90:G91"/>
    <mergeCell ref="H90:H91"/>
    <mergeCell ref="A92:A93"/>
    <mergeCell ref="B92:B93"/>
    <mergeCell ref="C92:C93"/>
    <mergeCell ref="D92:D93"/>
    <mergeCell ref="F92:F93"/>
    <mergeCell ref="G92:G93"/>
    <mergeCell ref="H92:H93"/>
    <mergeCell ref="A94:A95"/>
    <mergeCell ref="B94:B95"/>
    <mergeCell ref="C94:C95"/>
    <mergeCell ref="D94:D95"/>
    <mergeCell ref="F94:F95"/>
    <mergeCell ref="G94:G95"/>
    <mergeCell ref="H94:H95"/>
    <mergeCell ref="A96:A97"/>
    <mergeCell ref="B96:B97"/>
    <mergeCell ref="C96:C97"/>
    <mergeCell ref="D96:D97"/>
    <mergeCell ref="F96:F97"/>
    <mergeCell ref="G96:G97"/>
    <mergeCell ref="H96:H97"/>
    <mergeCell ref="A120:A121"/>
    <mergeCell ref="B120:B121"/>
    <mergeCell ref="C120:C121"/>
    <mergeCell ref="D120:D121"/>
    <mergeCell ref="F120:F121"/>
    <mergeCell ref="G120:G121"/>
    <mergeCell ref="H120:H121"/>
    <mergeCell ref="A118:A119"/>
    <mergeCell ref="B118:B119"/>
    <mergeCell ref="C118:C119"/>
    <mergeCell ref="D118:D119"/>
    <mergeCell ref="F118:F119"/>
    <mergeCell ref="G118:G119"/>
    <mergeCell ref="H118:H119"/>
    <mergeCell ref="A44:A45"/>
    <mergeCell ref="B44:B45"/>
    <mergeCell ref="C44:C45"/>
    <mergeCell ref="D44:D45"/>
    <mergeCell ref="F44:F45"/>
    <mergeCell ref="G44:G45"/>
    <mergeCell ref="H44:H45"/>
    <mergeCell ref="A46:A47"/>
    <mergeCell ref="B46:B47"/>
    <mergeCell ref="C46:C47"/>
    <mergeCell ref="D46:D47"/>
    <mergeCell ref="F46:F47"/>
    <mergeCell ref="G46:G47"/>
    <mergeCell ref="H46:H47"/>
    <mergeCell ref="A48:A49"/>
    <mergeCell ref="B48:B49"/>
    <mergeCell ref="C48:C49"/>
    <mergeCell ref="D48:D49"/>
    <mergeCell ref="F48:F49"/>
    <mergeCell ref="G48:G49"/>
    <mergeCell ref="H48:H49"/>
    <mergeCell ref="A50:A51"/>
    <mergeCell ref="B50:B51"/>
    <mergeCell ref="C50:C51"/>
    <mergeCell ref="D50:D51"/>
    <mergeCell ref="F50:F51"/>
    <mergeCell ref="G50:G51"/>
    <mergeCell ref="H50:H51"/>
    <mergeCell ref="A74:H74"/>
    <mergeCell ref="B76:B77"/>
    <mergeCell ref="C76:C77"/>
    <mergeCell ref="D76:D77"/>
    <mergeCell ref="F76:F77"/>
    <mergeCell ref="G76:G77"/>
    <mergeCell ref="H76:H77"/>
    <mergeCell ref="A76:A77"/>
    <mergeCell ref="B78:B79"/>
    <mergeCell ref="C78:C79"/>
    <mergeCell ref="D78:D79"/>
    <mergeCell ref="F78:F79"/>
    <mergeCell ref="G78:G79"/>
    <mergeCell ref="H78:H79"/>
    <mergeCell ref="A78:A79"/>
    <mergeCell ref="B80:B81"/>
    <mergeCell ref="C80:C81"/>
    <mergeCell ref="D80:D81"/>
    <mergeCell ref="F80:F81"/>
    <mergeCell ref="G80:G81"/>
    <mergeCell ref="H80:H81"/>
    <mergeCell ref="F84:F85"/>
    <mergeCell ref="G84:G85"/>
    <mergeCell ref="A80:A81"/>
    <mergeCell ref="A82:A85"/>
    <mergeCell ref="B82:B85"/>
    <mergeCell ref="C82:C85"/>
    <mergeCell ref="F82:F83"/>
    <mergeCell ref="G82:G83"/>
    <mergeCell ref="H82:H83"/>
    <mergeCell ref="H84:H85"/>
    <mergeCell ref="A98:A99"/>
    <mergeCell ref="B98:B99"/>
    <mergeCell ref="C98:C99"/>
    <mergeCell ref="D98:D99"/>
    <mergeCell ref="F98:F99"/>
    <mergeCell ref="G98:G99"/>
    <mergeCell ref="H98:H99"/>
    <mergeCell ref="A100:A101"/>
    <mergeCell ref="B100:B101"/>
    <mergeCell ref="C100:C101"/>
    <mergeCell ref="D100:D101"/>
    <mergeCell ref="F100:F101"/>
    <mergeCell ref="G100:G101"/>
    <mergeCell ref="H100:H101"/>
    <mergeCell ref="A102:A103"/>
    <mergeCell ref="B102:B103"/>
    <mergeCell ref="C102:C103"/>
    <mergeCell ref="D102:D103"/>
    <mergeCell ref="F102:F103"/>
    <mergeCell ref="G102:G103"/>
    <mergeCell ref="H102:H103"/>
    <mergeCell ref="A104:A105"/>
    <mergeCell ref="B104:B105"/>
    <mergeCell ref="C104:C105"/>
    <mergeCell ref="D104:D105"/>
    <mergeCell ref="F104:F105"/>
    <mergeCell ref="G104:G105"/>
    <mergeCell ref="H104:H105"/>
    <mergeCell ref="A106:A107"/>
    <mergeCell ref="B106:B107"/>
    <mergeCell ref="C106:C107"/>
    <mergeCell ref="D106:D107"/>
    <mergeCell ref="F106:F107"/>
    <mergeCell ref="G106:G107"/>
    <mergeCell ref="H106:H107"/>
    <mergeCell ref="A108:A109"/>
    <mergeCell ref="B108:B109"/>
    <mergeCell ref="C108:C109"/>
    <mergeCell ref="D108:D109"/>
    <mergeCell ref="F108:F109"/>
    <mergeCell ref="G108:G109"/>
    <mergeCell ref="H108:H10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19.63"/>
    <col customWidth="1" min="4" max="5" width="16.5"/>
    <col customWidth="1" min="6" max="6" width="15.88"/>
    <col customWidth="1" min="7" max="7" width="16.75"/>
    <col customWidth="1" min="8" max="8" width="17.0"/>
    <col customWidth="1" min="9" max="11" width="25.0"/>
    <col customWidth="1" min="13" max="13" width="19.38"/>
    <col customWidth="1" min="15" max="15" width="20.5"/>
    <col customWidth="1" min="16" max="16" width="16.88"/>
    <col customWidth="1" min="17" max="17" width="18.25"/>
    <col customWidth="1" min="18" max="18" width="21.63"/>
    <col customWidth="1" min="19" max="19" width="15.5"/>
    <col customWidth="1" min="21" max="21" width="22.5"/>
    <col customWidth="1" min="22" max="22" width="24.25"/>
  </cols>
  <sheetData>
    <row r="1">
      <c r="A1" s="327"/>
      <c r="B1" s="328"/>
      <c r="G1" s="329"/>
      <c r="H1" s="329"/>
    </row>
    <row r="2">
      <c r="A2" s="330" t="s">
        <v>652</v>
      </c>
      <c r="W2" s="122"/>
      <c r="X2" s="122"/>
      <c r="Y2" s="122"/>
      <c r="Z2" s="122"/>
      <c r="AA2" s="122"/>
      <c r="AB2" s="122"/>
      <c r="AC2" s="122"/>
    </row>
    <row r="3">
      <c r="A3" s="327"/>
      <c r="B3" s="331"/>
      <c r="C3" s="329"/>
      <c r="G3" s="329"/>
      <c r="H3" s="329"/>
    </row>
    <row r="4">
      <c r="A4" s="332"/>
      <c r="B4" s="333"/>
      <c r="C4" s="334"/>
      <c r="D4" s="334"/>
      <c r="E4" s="334"/>
      <c r="F4" s="334"/>
      <c r="G4" s="335" t="s">
        <v>653</v>
      </c>
      <c r="H4" s="336"/>
      <c r="I4" s="334"/>
      <c r="J4" s="334"/>
      <c r="K4" s="334"/>
      <c r="L4" s="334"/>
      <c r="M4" s="334"/>
      <c r="N4" s="334"/>
      <c r="O4" s="334"/>
      <c r="P4" s="334"/>
      <c r="Q4" s="337" t="s">
        <v>654</v>
      </c>
      <c r="R4" s="7"/>
      <c r="S4" s="7"/>
      <c r="T4" s="7"/>
      <c r="U4" s="7"/>
      <c r="V4" s="9"/>
    </row>
    <row r="5">
      <c r="A5" s="338" t="s">
        <v>6</v>
      </c>
      <c r="B5" s="339" t="s">
        <v>71</v>
      </c>
      <c r="C5" s="340" t="s">
        <v>29</v>
      </c>
      <c r="D5" s="340" t="s">
        <v>642</v>
      </c>
      <c r="E5" s="340" t="s">
        <v>655</v>
      </c>
      <c r="F5" s="340" t="s">
        <v>656</v>
      </c>
      <c r="G5" s="341" t="s">
        <v>657</v>
      </c>
      <c r="H5" s="341" t="s">
        <v>658</v>
      </c>
      <c r="I5" s="342" t="s">
        <v>659</v>
      </c>
      <c r="J5" s="342" t="s">
        <v>660</v>
      </c>
      <c r="K5" s="340" t="s">
        <v>661</v>
      </c>
      <c r="L5" s="343" t="s">
        <v>84</v>
      </c>
      <c r="M5" s="343" t="s">
        <v>302</v>
      </c>
      <c r="N5" s="343" t="s">
        <v>662</v>
      </c>
      <c r="O5" s="344" t="s">
        <v>663</v>
      </c>
      <c r="P5" s="344" t="s">
        <v>656</v>
      </c>
      <c r="Q5" s="345" t="s">
        <v>664</v>
      </c>
      <c r="R5" s="345" t="s">
        <v>665</v>
      </c>
      <c r="S5" s="344" t="s">
        <v>663</v>
      </c>
      <c r="T5" s="346" t="s">
        <v>666</v>
      </c>
      <c r="U5" s="346" t="s">
        <v>667</v>
      </c>
    </row>
    <row r="6">
      <c r="A6" s="347">
        <v>1.0</v>
      </c>
      <c r="B6" s="348" t="s">
        <v>668</v>
      </c>
      <c r="C6" s="57"/>
      <c r="D6" s="57"/>
      <c r="E6" s="57" t="s">
        <v>228</v>
      </c>
      <c r="F6" s="57" t="s">
        <v>498</v>
      </c>
      <c r="G6" s="57"/>
      <c r="H6" s="349"/>
      <c r="I6" s="57"/>
      <c r="J6" s="57"/>
      <c r="K6" s="57" t="s">
        <v>513</v>
      </c>
      <c r="L6" s="57"/>
      <c r="M6" s="350"/>
      <c r="N6" s="57" t="s">
        <v>507</v>
      </c>
      <c r="O6" s="57"/>
      <c r="P6" s="109"/>
      <c r="Q6" s="12"/>
      <c r="R6" s="57"/>
      <c r="S6" s="57"/>
      <c r="T6" s="12"/>
      <c r="U6" s="57"/>
    </row>
    <row r="7">
      <c r="A7" s="351">
        <f t="shared" ref="A7:A94" si="1">A6+1</f>
        <v>2</v>
      </c>
      <c r="B7" s="352" t="s">
        <v>669</v>
      </c>
      <c r="C7" s="57" t="s">
        <v>93</v>
      </c>
      <c r="D7" s="57" t="s">
        <v>497</v>
      </c>
      <c r="E7" s="57" t="s">
        <v>228</v>
      </c>
      <c r="F7" s="57" t="s">
        <v>498</v>
      </c>
      <c r="G7" s="57">
        <v>7.016741023E9</v>
      </c>
      <c r="H7" s="349">
        <v>7.0144871023E10</v>
      </c>
      <c r="I7" s="57"/>
      <c r="J7" s="57"/>
      <c r="K7" s="57" t="s">
        <v>499</v>
      </c>
      <c r="L7" s="57"/>
      <c r="M7" s="350"/>
      <c r="N7" s="57" t="s">
        <v>507</v>
      </c>
      <c r="O7" s="57"/>
      <c r="P7" s="109"/>
      <c r="Q7" s="12"/>
      <c r="R7" s="57"/>
      <c r="S7" s="57"/>
      <c r="T7" s="12"/>
      <c r="U7" s="57"/>
    </row>
    <row r="8">
      <c r="A8" s="351">
        <f t="shared" si="1"/>
        <v>3</v>
      </c>
      <c r="B8" s="348" t="s">
        <v>669</v>
      </c>
      <c r="C8" s="57"/>
      <c r="D8" s="57"/>
      <c r="E8" s="57" t="s">
        <v>228</v>
      </c>
      <c r="F8" s="57" t="s">
        <v>498</v>
      </c>
      <c r="G8" s="57"/>
      <c r="H8" s="349"/>
      <c r="I8" s="57"/>
      <c r="J8" s="57"/>
      <c r="K8" s="57" t="s">
        <v>513</v>
      </c>
      <c r="L8" s="57"/>
      <c r="M8" s="350"/>
      <c r="N8" s="57" t="s">
        <v>507</v>
      </c>
      <c r="O8" s="57"/>
      <c r="P8" s="109"/>
      <c r="Q8" s="12"/>
      <c r="R8" s="57"/>
      <c r="S8" s="57"/>
      <c r="T8" s="12"/>
      <c r="U8" s="57"/>
    </row>
    <row r="9">
      <c r="A9" s="351">
        <f t="shared" si="1"/>
        <v>4</v>
      </c>
      <c r="B9" s="352" t="s">
        <v>669</v>
      </c>
      <c r="C9" s="57" t="s">
        <v>57</v>
      </c>
      <c r="D9" s="57" t="s">
        <v>497</v>
      </c>
      <c r="E9" s="57" t="s">
        <v>228</v>
      </c>
      <c r="F9" s="57" t="s">
        <v>498</v>
      </c>
      <c r="G9" s="57">
        <v>7.0309761123E10</v>
      </c>
      <c r="H9" s="349">
        <v>7.0321431323E10</v>
      </c>
      <c r="I9" s="57"/>
      <c r="J9" s="57"/>
      <c r="K9" s="57" t="s">
        <v>499</v>
      </c>
      <c r="L9" s="57"/>
      <c r="M9" s="350"/>
      <c r="N9" s="57" t="s">
        <v>507</v>
      </c>
      <c r="O9" s="57"/>
      <c r="P9" s="109"/>
      <c r="Q9" s="12"/>
      <c r="R9" s="57"/>
      <c r="S9" s="57"/>
      <c r="T9" s="12"/>
      <c r="U9" s="57"/>
    </row>
    <row r="10">
      <c r="A10" s="351">
        <f t="shared" si="1"/>
        <v>5</v>
      </c>
      <c r="B10" s="352" t="s">
        <v>669</v>
      </c>
      <c r="C10" s="57" t="s">
        <v>104</v>
      </c>
      <c r="D10" s="57" t="s">
        <v>497</v>
      </c>
      <c r="E10" s="57" t="s">
        <v>228</v>
      </c>
      <c r="F10" s="57" t="s">
        <v>498</v>
      </c>
      <c r="G10" s="57">
        <v>7.0184131023E10</v>
      </c>
      <c r="H10" s="349">
        <v>7.0465700823E10</v>
      </c>
      <c r="I10" s="57"/>
      <c r="J10" s="57"/>
      <c r="K10" s="57" t="s">
        <v>499</v>
      </c>
      <c r="L10" s="57"/>
      <c r="M10" s="350"/>
      <c r="N10" s="57" t="s">
        <v>507</v>
      </c>
      <c r="O10" s="57"/>
      <c r="P10" s="109"/>
      <c r="Q10" s="12"/>
      <c r="R10" s="57"/>
      <c r="S10" s="57"/>
      <c r="T10" s="12"/>
      <c r="U10" s="57"/>
      <c r="Y10" s="33"/>
      <c r="Z10" s="33"/>
      <c r="AA10" s="33"/>
    </row>
    <row r="11">
      <c r="A11" s="351">
        <f t="shared" si="1"/>
        <v>6</v>
      </c>
      <c r="B11" s="348" t="s">
        <v>670</v>
      </c>
      <c r="C11" s="57"/>
      <c r="D11" s="57"/>
      <c r="E11" s="57" t="s">
        <v>228</v>
      </c>
      <c r="F11" s="57" t="s">
        <v>498</v>
      </c>
      <c r="G11" s="57"/>
      <c r="H11" s="355"/>
      <c r="I11" s="57"/>
      <c r="J11" s="57"/>
      <c r="K11" s="57" t="s">
        <v>513</v>
      </c>
      <c r="L11" s="57"/>
      <c r="M11" s="356"/>
      <c r="N11" s="57" t="s">
        <v>507</v>
      </c>
      <c r="O11" s="57"/>
      <c r="P11" s="109"/>
      <c r="Q11" s="12"/>
      <c r="R11" s="57"/>
      <c r="S11" s="57"/>
      <c r="T11" s="12"/>
      <c r="U11" s="57"/>
      <c r="Y11" s="357"/>
      <c r="Z11" s="357"/>
      <c r="AA11" s="357"/>
    </row>
    <row r="12">
      <c r="A12" s="351">
        <f t="shared" si="1"/>
        <v>7</v>
      </c>
      <c r="B12" s="348" t="s">
        <v>671</v>
      </c>
      <c r="C12" s="57"/>
      <c r="D12" s="57"/>
      <c r="E12" s="57" t="s">
        <v>228</v>
      </c>
      <c r="F12" s="57" t="s">
        <v>498</v>
      </c>
      <c r="G12" s="57"/>
      <c r="H12" s="355"/>
      <c r="I12" s="57"/>
      <c r="J12" s="57"/>
      <c r="K12" s="57" t="s">
        <v>513</v>
      </c>
      <c r="L12" s="57"/>
      <c r="M12" s="356"/>
      <c r="N12" s="57" t="s">
        <v>507</v>
      </c>
      <c r="O12" s="57"/>
      <c r="P12" s="109"/>
      <c r="Q12" s="12"/>
      <c r="R12" s="57"/>
      <c r="S12" s="57"/>
      <c r="T12" s="12"/>
      <c r="U12" s="57"/>
      <c r="Y12" s="357"/>
      <c r="Z12" s="357"/>
      <c r="AA12" s="357"/>
    </row>
    <row r="13">
      <c r="A13" s="351">
        <f t="shared" si="1"/>
        <v>8</v>
      </c>
      <c r="B13" s="348" t="s">
        <v>673</v>
      </c>
      <c r="C13" s="57"/>
      <c r="D13" s="57"/>
      <c r="E13" s="57" t="s">
        <v>228</v>
      </c>
      <c r="F13" s="57" t="s">
        <v>498</v>
      </c>
      <c r="G13" s="57"/>
      <c r="H13" s="355"/>
      <c r="I13" s="57"/>
      <c r="J13" s="57"/>
      <c r="K13" s="57" t="s">
        <v>513</v>
      </c>
      <c r="L13" s="57"/>
      <c r="M13" s="356"/>
      <c r="N13" s="57" t="s">
        <v>507</v>
      </c>
      <c r="O13" s="57"/>
      <c r="P13" s="109"/>
      <c r="Q13" s="12"/>
      <c r="R13" s="57"/>
      <c r="S13" s="57"/>
      <c r="T13" s="12"/>
      <c r="U13" s="57"/>
      <c r="Y13" s="357"/>
      <c r="Z13" s="357"/>
      <c r="AA13" s="357"/>
    </row>
    <row r="14">
      <c r="A14" s="351">
        <f t="shared" si="1"/>
        <v>9</v>
      </c>
      <c r="B14" s="348" t="s">
        <v>674</v>
      </c>
      <c r="C14" s="57"/>
      <c r="D14" s="57"/>
      <c r="E14" s="57" t="s">
        <v>228</v>
      </c>
      <c r="F14" s="57" t="s">
        <v>498</v>
      </c>
      <c r="G14" s="57"/>
      <c r="H14" s="355"/>
      <c r="I14" s="57"/>
      <c r="J14" s="57"/>
      <c r="K14" s="57" t="s">
        <v>513</v>
      </c>
      <c r="L14" s="57"/>
      <c r="M14" s="356"/>
      <c r="N14" s="57" t="s">
        <v>507</v>
      </c>
      <c r="O14" s="57"/>
      <c r="P14" s="109"/>
      <c r="Q14" s="12"/>
      <c r="R14" s="57"/>
      <c r="S14" s="57"/>
      <c r="T14" s="12"/>
      <c r="U14" s="57"/>
      <c r="Y14" s="357"/>
      <c r="Z14" s="357"/>
      <c r="AA14" s="357"/>
    </row>
    <row r="15">
      <c r="A15" s="351">
        <f t="shared" si="1"/>
        <v>10</v>
      </c>
      <c r="B15" s="352" t="s">
        <v>674</v>
      </c>
      <c r="C15" s="57" t="s">
        <v>143</v>
      </c>
      <c r="D15" s="57" t="s">
        <v>503</v>
      </c>
      <c r="E15" s="57" t="s">
        <v>228</v>
      </c>
      <c r="F15" s="57" t="s">
        <v>498</v>
      </c>
      <c r="G15" s="57"/>
      <c r="H15" s="355"/>
      <c r="I15" s="57"/>
      <c r="J15" s="57"/>
      <c r="K15" s="57" t="s">
        <v>499</v>
      </c>
      <c r="L15" s="57"/>
      <c r="M15" s="356"/>
      <c r="N15" s="57" t="s">
        <v>507</v>
      </c>
      <c r="O15" s="57"/>
      <c r="P15" s="109"/>
      <c r="Q15" s="12"/>
      <c r="R15" s="57"/>
      <c r="S15" s="57"/>
      <c r="T15" s="12"/>
      <c r="U15" s="57"/>
      <c r="Y15" s="357"/>
      <c r="Z15" s="357"/>
      <c r="AA15" s="357"/>
    </row>
    <row r="16">
      <c r="A16" s="351">
        <f t="shared" si="1"/>
        <v>11</v>
      </c>
      <c r="B16" s="352" t="s">
        <v>675</v>
      </c>
      <c r="C16" s="57" t="s">
        <v>121</v>
      </c>
      <c r="D16" s="57" t="s">
        <v>503</v>
      </c>
      <c r="E16" s="57" t="s">
        <v>228</v>
      </c>
      <c r="F16" s="57" t="s">
        <v>498</v>
      </c>
      <c r="G16" s="57"/>
      <c r="H16" s="355"/>
      <c r="I16" s="57"/>
      <c r="J16" s="57"/>
      <c r="K16" s="57" t="s">
        <v>499</v>
      </c>
      <c r="L16" s="57"/>
      <c r="M16" s="360"/>
      <c r="N16" s="57" t="s">
        <v>507</v>
      </c>
      <c r="O16" s="57"/>
      <c r="P16" s="109"/>
      <c r="Q16" s="12"/>
      <c r="R16" s="57"/>
      <c r="S16" s="57"/>
      <c r="T16" s="12"/>
      <c r="U16" s="57"/>
      <c r="Y16" s="357"/>
      <c r="Z16" s="357"/>
      <c r="AA16" s="357"/>
    </row>
    <row r="17">
      <c r="A17" s="351">
        <f t="shared" si="1"/>
        <v>12</v>
      </c>
      <c r="B17" s="352" t="s">
        <v>676</v>
      </c>
      <c r="C17" s="57" t="s">
        <v>147</v>
      </c>
      <c r="D17" s="57" t="s">
        <v>503</v>
      </c>
      <c r="E17" s="57" t="s">
        <v>228</v>
      </c>
      <c r="F17" s="57" t="s">
        <v>498</v>
      </c>
      <c r="G17" s="57"/>
      <c r="H17" s="355"/>
      <c r="I17" s="57"/>
      <c r="J17" s="57"/>
      <c r="K17" s="57" t="s">
        <v>499</v>
      </c>
      <c r="L17" s="57"/>
      <c r="M17" s="356"/>
      <c r="N17" s="57" t="s">
        <v>507</v>
      </c>
      <c r="O17" s="57"/>
      <c r="P17" s="109"/>
      <c r="Q17" s="12"/>
      <c r="R17" s="57"/>
      <c r="S17" s="57"/>
      <c r="T17" s="12"/>
      <c r="U17" s="57"/>
      <c r="Y17" s="357"/>
      <c r="Z17" s="357"/>
      <c r="AA17" s="357"/>
    </row>
    <row r="18">
      <c r="A18" s="351">
        <f t="shared" si="1"/>
        <v>13</v>
      </c>
      <c r="B18" s="348" t="s">
        <v>677</v>
      </c>
      <c r="C18" s="57"/>
      <c r="D18" s="57"/>
      <c r="E18" s="57" t="s">
        <v>228</v>
      </c>
      <c r="F18" s="57" t="s">
        <v>498</v>
      </c>
      <c r="G18" s="57"/>
      <c r="H18" s="355"/>
      <c r="I18" s="57"/>
      <c r="J18" s="57"/>
      <c r="K18" s="57" t="s">
        <v>513</v>
      </c>
      <c r="L18" s="57"/>
      <c r="M18" s="356"/>
      <c r="N18" s="57" t="s">
        <v>507</v>
      </c>
      <c r="O18" s="57"/>
      <c r="P18" s="109"/>
      <c r="Q18" s="12"/>
      <c r="R18" s="57"/>
      <c r="S18" s="57"/>
      <c r="T18" s="12"/>
      <c r="U18" s="57"/>
      <c r="Y18" s="357"/>
      <c r="Z18" s="357"/>
      <c r="AA18" s="357"/>
    </row>
    <row r="19">
      <c r="A19" s="351">
        <f t="shared" si="1"/>
        <v>14</v>
      </c>
      <c r="B19" s="348" t="s">
        <v>678</v>
      </c>
      <c r="C19" s="57"/>
      <c r="D19" s="57"/>
      <c r="E19" s="57" t="s">
        <v>228</v>
      </c>
      <c r="F19" s="57" t="s">
        <v>498</v>
      </c>
      <c r="G19" s="57"/>
      <c r="H19" s="355"/>
      <c r="I19" s="57"/>
      <c r="J19" s="57"/>
      <c r="K19" s="57" t="s">
        <v>513</v>
      </c>
      <c r="L19" s="57"/>
      <c r="M19" s="356"/>
      <c r="N19" s="57" t="s">
        <v>507</v>
      </c>
      <c r="O19" s="57"/>
      <c r="P19" s="109"/>
      <c r="Q19" s="12"/>
      <c r="R19" s="57"/>
      <c r="S19" s="57"/>
      <c r="T19" s="12"/>
      <c r="U19" s="57"/>
      <c r="Y19" s="357"/>
      <c r="Z19" s="357"/>
      <c r="AA19" s="357"/>
    </row>
    <row r="20">
      <c r="A20" s="351">
        <f t="shared" si="1"/>
        <v>15</v>
      </c>
      <c r="B20" s="352" t="s">
        <v>679</v>
      </c>
      <c r="C20" s="57" t="s">
        <v>147</v>
      </c>
      <c r="D20" s="57" t="s">
        <v>503</v>
      </c>
      <c r="E20" s="57" t="s">
        <v>228</v>
      </c>
      <c r="F20" s="57" t="s">
        <v>498</v>
      </c>
      <c r="G20" s="57"/>
      <c r="H20" s="355"/>
      <c r="I20" s="57"/>
      <c r="J20" s="57"/>
      <c r="K20" s="57" t="s">
        <v>499</v>
      </c>
      <c r="L20" s="57"/>
      <c r="M20" s="356"/>
      <c r="N20" s="57" t="s">
        <v>507</v>
      </c>
      <c r="O20" s="57"/>
      <c r="P20" s="109"/>
      <c r="Q20" s="12"/>
      <c r="R20" s="57"/>
      <c r="S20" s="57"/>
      <c r="T20" s="12"/>
      <c r="U20" s="57"/>
      <c r="Y20" s="357"/>
      <c r="Z20" s="357"/>
      <c r="AA20" s="357"/>
    </row>
    <row r="21">
      <c r="A21" s="351">
        <f t="shared" si="1"/>
        <v>16</v>
      </c>
      <c r="B21" s="352" t="s">
        <v>680</v>
      </c>
      <c r="C21" s="57" t="s">
        <v>93</v>
      </c>
      <c r="D21" s="57" t="s">
        <v>503</v>
      </c>
      <c r="E21" s="57" t="s">
        <v>228</v>
      </c>
      <c r="F21" s="57" t="s">
        <v>498</v>
      </c>
      <c r="G21" s="57"/>
      <c r="H21" s="355"/>
      <c r="I21" s="57"/>
      <c r="J21" s="57"/>
      <c r="K21" s="57" t="s">
        <v>499</v>
      </c>
      <c r="L21" s="57"/>
      <c r="M21" s="360"/>
      <c r="N21" s="57" t="s">
        <v>507</v>
      </c>
      <c r="O21" s="57"/>
      <c r="P21" s="109"/>
      <c r="Q21" s="12"/>
      <c r="R21" s="57"/>
      <c r="S21" s="57"/>
      <c r="T21" s="12"/>
      <c r="U21" s="57"/>
      <c r="Y21" s="357"/>
      <c r="Z21" s="357"/>
      <c r="AA21" s="357"/>
    </row>
    <row r="22">
      <c r="A22" s="351">
        <f t="shared" si="1"/>
        <v>17</v>
      </c>
      <c r="B22" s="352" t="s">
        <v>681</v>
      </c>
      <c r="C22" s="57" t="s">
        <v>155</v>
      </c>
      <c r="D22" s="57" t="s">
        <v>503</v>
      </c>
      <c r="E22" s="57" t="s">
        <v>228</v>
      </c>
      <c r="F22" s="57" t="s">
        <v>498</v>
      </c>
      <c r="G22" s="57"/>
      <c r="H22" s="355"/>
      <c r="I22" s="57"/>
      <c r="J22" s="57"/>
      <c r="K22" s="57" t="s">
        <v>499</v>
      </c>
      <c r="L22" s="57"/>
      <c r="M22" s="360"/>
      <c r="N22" s="57" t="s">
        <v>507</v>
      </c>
      <c r="O22" s="57"/>
      <c r="P22" s="109"/>
      <c r="Q22" s="12"/>
      <c r="R22" s="57"/>
      <c r="S22" s="57"/>
      <c r="T22" s="12"/>
      <c r="U22" s="57"/>
      <c r="Y22" s="357"/>
      <c r="Z22" s="357"/>
      <c r="AA22" s="357"/>
    </row>
    <row r="23">
      <c r="A23" s="351">
        <f t="shared" si="1"/>
        <v>18</v>
      </c>
      <c r="B23" s="352" t="s">
        <v>681</v>
      </c>
      <c r="C23" s="57" t="s">
        <v>155</v>
      </c>
      <c r="D23" s="57" t="s">
        <v>497</v>
      </c>
      <c r="E23" s="57" t="s">
        <v>228</v>
      </c>
      <c r="F23" s="57" t="s">
        <v>498</v>
      </c>
      <c r="G23" s="57"/>
      <c r="H23" s="355"/>
      <c r="I23" s="57"/>
      <c r="J23" s="57"/>
      <c r="K23" s="57" t="s">
        <v>499</v>
      </c>
      <c r="L23" s="57"/>
      <c r="M23" s="356"/>
      <c r="N23" s="57" t="s">
        <v>507</v>
      </c>
      <c r="O23" s="57"/>
      <c r="P23" s="109"/>
      <c r="Q23" s="12"/>
      <c r="R23" s="57"/>
      <c r="S23" s="57"/>
      <c r="T23" s="12"/>
      <c r="U23" s="57"/>
      <c r="Y23" s="357"/>
      <c r="Z23" s="357"/>
      <c r="AA23" s="357"/>
    </row>
    <row r="24">
      <c r="A24" s="351">
        <f t="shared" si="1"/>
        <v>19</v>
      </c>
      <c r="B24" s="352" t="s">
        <v>683</v>
      </c>
      <c r="C24" s="57" t="s">
        <v>132</v>
      </c>
      <c r="D24" s="57" t="s">
        <v>503</v>
      </c>
      <c r="E24" s="57" t="s">
        <v>228</v>
      </c>
      <c r="F24" s="57" t="s">
        <v>498</v>
      </c>
      <c r="G24" s="57"/>
      <c r="H24" s="355"/>
      <c r="I24" s="57"/>
      <c r="J24" s="57"/>
      <c r="K24" s="57" t="s">
        <v>499</v>
      </c>
      <c r="L24" s="57"/>
      <c r="M24" s="356"/>
      <c r="N24" s="57" t="s">
        <v>507</v>
      </c>
      <c r="O24" s="57"/>
      <c r="P24" s="109"/>
      <c r="Q24" s="12"/>
      <c r="R24" s="57"/>
      <c r="S24" s="57"/>
      <c r="T24" s="12"/>
      <c r="U24" s="57"/>
      <c r="Y24" s="357"/>
      <c r="Z24" s="357"/>
      <c r="AA24" s="357"/>
    </row>
    <row r="25">
      <c r="A25" s="351">
        <f t="shared" si="1"/>
        <v>20</v>
      </c>
      <c r="B25" s="352" t="s">
        <v>686</v>
      </c>
      <c r="C25" s="57" t="s">
        <v>143</v>
      </c>
      <c r="D25" s="57" t="s">
        <v>497</v>
      </c>
      <c r="E25" s="57" t="s">
        <v>228</v>
      </c>
      <c r="F25" s="57" t="s">
        <v>498</v>
      </c>
      <c r="G25" s="57"/>
      <c r="H25" s="355"/>
      <c r="I25" s="57"/>
      <c r="J25" s="57"/>
      <c r="K25" s="57" t="s">
        <v>499</v>
      </c>
      <c r="L25" s="57"/>
      <c r="M25" s="356"/>
      <c r="N25" s="57" t="s">
        <v>507</v>
      </c>
      <c r="O25" s="57"/>
      <c r="P25" s="109"/>
      <c r="Q25" s="12"/>
      <c r="R25" s="57"/>
      <c r="S25" s="57"/>
      <c r="T25" s="12"/>
      <c r="U25" s="57"/>
      <c r="Y25" s="357"/>
      <c r="Z25" s="357"/>
      <c r="AA25" s="357"/>
    </row>
    <row r="26">
      <c r="A26" s="351">
        <f t="shared" si="1"/>
        <v>21</v>
      </c>
      <c r="B26" s="348" t="s">
        <v>689</v>
      </c>
      <c r="C26" s="57" t="s">
        <v>93</v>
      </c>
      <c r="D26" s="57"/>
      <c r="E26" s="57" t="s">
        <v>228</v>
      </c>
      <c r="F26" s="57" t="s">
        <v>498</v>
      </c>
      <c r="G26" s="57"/>
      <c r="H26" s="355"/>
      <c r="I26" s="57"/>
      <c r="J26" s="57"/>
      <c r="K26" s="57" t="s">
        <v>513</v>
      </c>
      <c r="L26" s="57"/>
      <c r="M26" s="360"/>
      <c r="N26" s="57" t="s">
        <v>507</v>
      </c>
      <c r="O26" s="57"/>
      <c r="P26" s="109"/>
      <c r="Q26" s="12"/>
      <c r="R26" s="57"/>
      <c r="S26" s="57"/>
      <c r="T26" s="12"/>
      <c r="U26" s="57"/>
      <c r="Y26" s="357"/>
      <c r="Z26" s="357"/>
      <c r="AA26" s="357"/>
    </row>
    <row r="27">
      <c r="A27" s="351">
        <f t="shared" si="1"/>
        <v>22</v>
      </c>
      <c r="B27" s="348" t="s">
        <v>689</v>
      </c>
      <c r="C27" s="57" t="s">
        <v>93</v>
      </c>
      <c r="D27" s="57"/>
      <c r="E27" s="57" t="s">
        <v>228</v>
      </c>
      <c r="F27" s="57" t="s">
        <v>498</v>
      </c>
      <c r="G27" s="57"/>
      <c r="H27" s="355"/>
      <c r="I27" s="57"/>
      <c r="J27" s="57"/>
      <c r="K27" s="57" t="s">
        <v>513</v>
      </c>
      <c r="L27" s="57"/>
      <c r="M27" s="360"/>
      <c r="N27" s="57" t="s">
        <v>507</v>
      </c>
      <c r="O27" s="57"/>
      <c r="P27" s="109"/>
      <c r="Q27" s="12"/>
      <c r="R27" s="57"/>
      <c r="S27" s="57"/>
      <c r="T27" s="12"/>
      <c r="U27" s="57"/>
      <c r="Y27" s="357"/>
      <c r="Z27" s="357"/>
      <c r="AA27" s="357"/>
    </row>
    <row r="28">
      <c r="A28" s="351">
        <f t="shared" si="1"/>
        <v>23</v>
      </c>
      <c r="B28" s="348" t="s">
        <v>690</v>
      </c>
      <c r="C28" s="57" t="s">
        <v>120</v>
      </c>
      <c r="D28" s="57"/>
      <c r="E28" s="57" t="s">
        <v>228</v>
      </c>
      <c r="F28" s="57" t="s">
        <v>498</v>
      </c>
      <c r="G28" s="57"/>
      <c r="H28" s="355"/>
      <c r="I28" s="57"/>
      <c r="J28" s="57"/>
      <c r="K28" s="57" t="s">
        <v>513</v>
      </c>
      <c r="L28" s="57"/>
      <c r="M28" s="360"/>
      <c r="N28" s="57" t="s">
        <v>507</v>
      </c>
      <c r="O28" s="57"/>
      <c r="P28" s="109"/>
      <c r="Q28" s="12"/>
      <c r="R28" s="57"/>
      <c r="S28" s="57"/>
      <c r="T28" s="12"/>
      <c r="U28" s="57"/>
      <c r="Y28" s="357"/>
      <c r="Z28" s="357"/>
      <c r="AA28" s="357"/>
    </row>
    <row r="29">
      <c r="A29" s="351">
        <f t="shared" si="1"/>
        <v>24</v>
      </c>
      <c r="B29" s="348" t="s">
        <v>691</v>
      </c>
      <c r="C29" s="57"/>
      <c r="D29" s="57"/>
      <c r="E29" s="57" t="s">
        <v>228</v>
      </c>
      <c r="F29" s="57" t="s">
        <v>498</v>
      </c>
      <c r="G29" s="57"/>
      <c r="H29" s="355"/>
      <c r="I29" s="57"/>
      <c r="J29" s="57"/>
      <c r="K29" s="57" t="s">
        <v>513</v>
      </c>
      <c r="L29" s="57"/>
      <c r="M29" s="360"/>
      <c r="N29" s="57" t="s">
        <v>507</v>
      </c>
      <c r="O29" s="57"/>
      <c r="P29" s="109"/>
      <c r="Q29" s="12"/>
      <c r="R29" s="57"/>
      <c r="S29" s="57"/>
      <c r="T29" s="12"/>
      <c r="U29" s="57"/>
      <c r="Y29" s="357"/>
      <c r="Z29" s="357"/>
      <c r="AA29" s="357"/>
    </row>
    <row r="30">
      <c r="A30" s="351">
        <f t="shared" si="1"/>
        <v>25</v>
      </c>
      <c r="B30" s="348" t="s">
        <v>692</v>
      </c>
      <c r="C30" s="57"/>
      <c r="D30" s="57"/>
      <c r="E30" s="57" t="s">
        <v>228</v>
      </c>
      <c r="F30" s="57" t="s">
        <v>498</v>
      </c>
      <c r="G30" s="57"/>
      <c r="H30" s="355"/>
      <c r="I30" s="57"/>
      <c r="J30" s="57"/>
      <c r="K30" s="57" t="s">
        <v>513</v>
      </c>
      <c r="L30" s="57"/>
      <c r="M30" s="360"/>
      <c r="N30" s="57" t="s">
        <v>507</v>
      </c>
      <c r="O30" s="57"/>
      <c r="P30" s="109"/>
      <c r="Q30" s="12"/>
      <c r="R30" s="57"/>
      <c r="S30" s="57"/>
      <c r="T30" s="12"/>
      <c r="U30" s="57"/>
      <c r="Y30" s="357"/>
      <c r="Z30" s="357"/>
      <c r="AA30" s="357"/>
    </row>
    <row r="31">
      <c r="A31" s="351">
        <f t="shared" si="1"/>
        <v>26</v>
      </c>
      <c r="B31" s="348" t="s">
        <v>693</v>
      </c>
      <c r="C31" s="57"/>
      <c r="D31" s="57"/>
      <c r="E31" s="57" t="s">
        <v>228</v>
      </c>
      <c r="F31" s="57" t="s">
        <v>498</v>
      </c>
      <c r="G31" s="57"/>
      <c r="H31" s="355"/>
      <c r="I31" s="57"/>
      <c r="J31" s="57"/>
      <c r="K31" s="57" t="s">
        <v>513</v>
      </c>
      <c r="L31" s="57"/>
      <c r="M31" s="360"/>
      <c r="N31" s="57" t="s">
        <v>507</v>
      </c>
      <c r="O31" s="57"/>
      <c r="P31" s="109"/>
      <c r="Q31" s="12"/>
      <c r="R31" s="57"/>
      <c r="S31" s="57"/>
      <c r="T31" s="12"/>
      <c r="U31" s="57"/>
      <c r="Y31" s="357"/>
      <c r="Z31" s="357"/>
      <c r="AA31" s="357"/>
    </row>
    <row r="32">
      <c r="A32" s="351">
        <f t="shared" si="1"/>
        <v>27</v>
      </c>
      <c r="B32" s="348" t="s">
        <v>694</v>
      </c>
      <c r="C32" s="57" t="s">
        <v>155</v>
      </c>
      <c r="D32" s="57"/>
      <c r="E32" s="57" t="s">
        <v>228</v>
      </c>
      <c r="F32" s="57" t="s">
        <v>498</v>
      </c>
      <c r="G32" s="57"/>
      <c r="H32" s="355"/>
      <c r="I32" s="57"/>
      <c r="J32" s="57"/>
      <c r="K32" s="57" t="s">
        <v>513</v>
      </c>
      <c r="L32" s="57"/>
      <c r="M32" s="360"/>
      <c r="N32" s="57" t="s">
        <v>507</v>
      </c>
      <c r="O32" s="57"/>
      <c r="P32" s="109"/>
      <c r="Q32" s="12"/>
      <c r="R32" s="57"/>
      <c r="S32" s="57"/>
      <c r="T32" s="12"/>
      <c r="U32" s="57"/>
      <c r="Y32" s="357"/>
      <c r="Z32" s="357"/>
      <c r="AA32" s="357"/>
    </row>
    <row r="33">
      <c r="A33" s="351">
        <f t="shared" si="1"/>
        <v>28</v>
      </c>
      <c r="B33" s="348" t="s">
        <v>694</v>
      </c>
      <c r="C33" s="57" t="s">
        <v>155</v>
      </c>
      <c r="D33" s="57"/>
      <c r="E33" s="57" t="s">
        <v>228</v>
      </c>
      <c r="F33" s="57" t="s">
        <v>498</v>
      </c>
      <c r="G33" s="57"/>
      <c r="H33" s="355"/>
      <c r="I33" s="57"/>
      <c r="J33" s="57"/>
      <c r="K33" s="57" t="s">
        <v>513</v>
      </c>
      <c r="L33" s="57"/>
      <c r="M33" s="360"/>
      <c r="N33" s="57" t="s">
        <v>507</v>
      </c>
      <c r="O33" s="57"/>
      <c r="P33" s="109"/>
      <c r="Q33" s="12"/>
      <c r="R33" s="57"/>
      <c r="S33" s="57"/>
      <c r="T33" s="12"/>
      <c r="U33" s="57"/>
      <c r="Y33" s="357"/>
      <c r="Z33" s="357"/>
      <c r="AA33" s="357"/>
    </row>
    <row r="34">
      <c r="A34" s="351">
        <f t="shared" si="1"/>
        <v>29</v>
      </c>
      <c r="B34" s="348" t="s">
        <v>694</v>
      </c>
      <c r="C34" s="57" t="s">
        <v>136</v>
      </c>
      <c r="D34" s="57"/>
      <c r="E34" s="57" t="s">
        <v>228</v>
      </c>
      <c r="F34" s="57" t="s">
        <v>498</v>
      </c>
      <c r="G34" s="57"/>
      <c r="H34" s="355"/>
      <c r="I34" s="57"/>
      <c r="J34" s="57"/>
      <c r="K34" s="57" t="s">
        <v>513</v>
      </c>
      <c r="L34" s="57"/>
      <c r="M34" s="360"/>
      <c r="N34" s="57" t="s">
        <v>507</v>
      </c>
      <c r="O34" s="57"/>
      <c r="P34" s="109"/>
      <c r="Q34" s="12"/>
      <c r="R34" s="57"/>
      <c r="S34" s="57"/>
      <c r="T34" s="12"/>
      <c r="U34" s="57"/>
      <c r="Y34" s="357"/>
      <c r="Z34" s="357"/>
      <c r="AA34" s="357"/>
    </row>
    <row r="35">
      <c r="A35" s="351">
        <f t="shared" si="1"/>
        <v>30</v>
      </c>
      <c r="B35" s="348" t="s">
        <v>694</v>
      </c>
      <c r="C35" s="57" t="s">
        <v>120</v>
      </c>
      <c r="D35" s="57"/>
      <c r="E35" s="57" t="s">
        <v>228</v>
      </c>
      <c r="F35" s="57" t="s">
        <v>498</v>
      </c>
      <c r="G35" s="57"/>
      <c r="H35" s="355"/>
      <c r="I35" s="57"/>
      <c r="J35" s="57"/>
      <c r="K35" s="57" t="s">
        <v>513</v>
      </c>
      <c r="L35" s="57"/>
      <c r="M35" s="360"/>
      <c r="N35" s="57" t="s">
        <v>507</v>
      </c>
      <c r="O35" s="57"/>
      <c r="P35" s="109"/>
      <c r="Q35" s="12"/>
      <c r="R35" s="57"/>
      <c r="S35" s="57"/>
      <c r="T35" s="12"/>
      <c r="U35" s="57"/>
      <c r="Y35" s="357"/>
      <c r="Z35" s="357"/>
      <c r="AA35" s="357"/>
    </row>
    <row r="36">
      <c r="A36" s="351">
        <f t="shared" si="1"/>
        <v>31</v>
      </c>
      <c r="B36" s="348" t="s">
        <v>695</v>
      </c>
      <c r="C36" s="57" t="s">
        <v>104</v>
      </c>
      <c r="D36" s="57"/>
      <c r="E36" s="57" t="s">
        <v>228</v>
      </c>
      <c r="F36" s="57" t="s">
        <v>498</v>
      </c>
      <c r="G36" s="57"/>
      <c r="H36" s="355"/>
      <c r="I36" s="57"/>
      <c r="J36" s="57"/>
      <c r="K36" s="57" t="s">
        <v>513</v>
      </c>
      <c r="L36" s="57"/>
      <c r="M36" s="360"/>
      <c r="N36" s="57" t="s">
        <v>507</v>
      </c>
      <c r="O36" s="57"/>
      <c r="P36" s="109"/>
      <c r="Q36" s="12"/>
      <c r="R36" s="57"/>
      <c r="S36" s="57"/>
      <c r="T36" s="12"/>
      <c r="U36" s="57"/>
      <c r="Y36" s="357"/>
      <c r="Z36" s="357"/>
      <c r="AA36" s="357"/>
    </row>
    <row r="37">
      <c r="A37" s="351">
        <f t="shared" si="1"/>
        <v>32</v>
      </c>
      <c r="B37" s="370" t="s">
        <v>696</v>
      </c>
      <c r="C37" s="57" t="s">
        <v>57</v>
      </c>
      <c r="D37" s="57" t="s">
        <v>511</v>
      </c>
      <c r="E37" s="57" t="s">
        <v>228</v>
      </c>
      <c r="F37" s="57" t="s">
        <v>498</v>
      </c>
      <c r="G37" s="57"/>
      <c r="H37" s="355"/>
      <c r="I37" s="57"/>
      <c r="J37" s="57"/>
      <c r="K37" s="57" t="s">
        <v>525</v>
      </c>
      <c r="L37" s="57"/>
      <c r="M37" s="360"/>
      <c r="N37" s="57" t="s">
        <v>507</v>
      </c>
      <c r="O37" s="57"/>
      <c r="P37" s="109"/>
      <c r="Q37" s="12"/>
      <c r="R37" s="57"/>
      <c r="S37" s="57"/>
      <c r="T37" s="12"/>
      <c r="U37" s="57"/>
      <c r="Y37" s="357"/>
      <c r="Z37" s="357"/>
      <c r="AA37" s="357"/>
    </row>
    <row r="38">
      <c r="A38" s="351">
        <f t="shared" si="1"/>
        <v>33</v>
      </c>
      <c r="B38" s="370" t="s">
        <v>696</v>
      </c>
      <c r="C38" s="57" t="s">
        <v>159</v>
      </c>
      <c r="D38" s="57" t="s">
        <v>511</v>
      </c>
      <c r="E38" s="57" t="s">
        <v>228</v>
      </c>
      <c r="F38" s="57" t="s">
        <v>498</v>
      </c>
      <c r="G38" s="57"/>
      <c r="H38" s="355"/>
      <c r="I38" s="57"/>
      <c r="J38" s="57"/>
      <c r="K38" s="57" t="s">
        <v>525</v>
      </c>
      <c r="L38" s="57"/>
      <c r="M38" s="360"/>
      <c r="N38" s="57" t="s">
        <v>507</v>
      </c>
      <c r="O38" s="57"/>
      <c r="P38" s="109"/>
      <c r="Q38" s="12"/>
      <c r="R38" s="57"/>
      <c r="S38" s="57"/>
      <c r="T38" s="12"/>
      <c r="U38" s="57"/>
      <c r="Y38" s="357"/>
      <c r="Z38" s="357"/>
      <c r="AA38" s="357"/>
    </row>
    <row r="39">
      <c r="A39" s="351">
        <f t="shared" si="1"/>
        <v>34</v>
      </c>
      <c r="B39" s="370" t="s">
        <v>696</v>
      </c>
      <c r="C39" s="57" t="s">
        <v>143</v>
      </c>
      <c r="D39" s="57" t="s">
        <v>530</v>
      </c>
      <c r="E39" s="57" t="s">
        <v>228</v>
      </c>
      <c r="F39" s="57" t="s">
        <v>498</v>
      </c>
      <c r="G39" s="57"/>
      <c r="H39" s="355"/>
      <c r="I39" s="57"/>
      <c r="J39" s="57"/>
      <c r="K39" s="57" t="s">
        <v>525</v>
      </c>
      <c r="L39" s="57"/>
      <c r="M39" s="360"/>
      <c r="N39" s="57" t="s">
        <v>507</v>
      </c>
      <c r="O39" s="57"/>
      <c r="P39" s="109"/>
      <c r="Q39" s="12"/>
      <c r="R39" s="57"/>
      <c r="S39" s="57"/>
      <c r="T39" s="12"/>
      <c r="U39" s="57"/>
      <c r="Y39" s="357"/>
      <c r="Z39" s="357"/>
      <c r="AA39" s="357"/>
    </row>
    <row r="40">
      <c r="A40" s="351">
        <f t="shared" si="1"/>
        <v>35</v>
      </c>
      <c r="B40" s="370" t="s">
        <v>697</v>
      </c>
      <c r="C40" s="57" t="s">
        <v>121</v>
      </c>
      <c r="D40" s="57" t="s">
        <v>530</v>
      </c>
      <c r="E40" s="57" t="s">
        <v>228</v>
      </c>
      <c r="F40" s="57" t="s">
        <v>498</v>
      </c>
      <c r="G40" s="57" t="s">
        <v>698</v>
      </c>
      <c r="H40" s="349" t="s">
        <v>699</v>
      </c>
      <c r="I40" s="57"/>
      <c r="J40" s="57"/>
      <c r="K40" s="57" t="s">
        <v>525</v>
      </c>
      <c r="L40" s="57"/>
      <c r="M40" s="360"/>
      <c r="N40" s="57" t="s">
        <v>507</v>
      </c>
      <c r="O40" s="57"/>
      <c r="P40" s="109"/>
      <c r="Q40" s="12"/>
      <c r="R40" s="57"/>
      <c r="S40" s="57"/>
      <c r="T40" s="12"/>
      <c r="U40" s="57"/>
      <c r="Y40" s="357"/>
      <c r="Z40" s="357"/>
      <c r="AA40" s="357"/>
    </row>
    <row r="41">
      <c r="A41" s="351">
        <f t="shared" si="1"/>
        <v>36</v>
      </c>
      <c r="B41" s="370" t="s">
        <v>697</v>
      </c>
      <c r="C41" s="57" t="s">
        <v>93</v>
      </c>
      <c r="D41" s="57" t="s">
        <v>511</v>
      </c>
      <c r="E41" s="57" t="s">
        <v>228</v>
      </c>
      <c r="F41" s="57" t="s">
        <v>498</v>
      </c>
      <c r="G41" s="57" t="s">
        <v>700</v>
      </c>
      <c r="H41" s="349" t="s">
        <v>701</v>
      </c>
      <c r="I41" s="57"/>
      <c r="J41" s="57"/>
      <c r="K41" s="57" t="s">
        <v>525</v>
      </c>
      <c r="L41" s="57"/>
      <c r="M41" s="360"/>
      <c r="N41" s="57" t="s">
        <v>507</v>
      </c>
      <c r="O41" s="57"/>
      <c r="P41" s="109"/>
      <c r="Q41" s="12"/>
      <c r="R41" s="57"/>
      <c r="S41" s="57"/>
      <c r="T41" s="12"/>
      <c r="U41" s="57"/>
      <c r="Y41" s="357"/>
      <c r="Z41" s="357"/>
      <c r="AA41" s="357"/>
    </row>
    <row r="42">
      <c r="A42" s="351">
        <f t="shared" si="1"/>
        <v>37</v>
      </c>
      <c r="B42" s="348" t="s">
        <v>702</v>
      </c>
      <c r="C42" s="57" t="s">
        <v>104</v>
      </c>
      <c r="D42" s="57"/>
      <c r="E42" s="57" t="s">
        <v>228</v>
      </c>
      <c r="F42" s="57" t="s">
        <v>498</v>
      </c>
      <c r="G42" s="57"/>
      <c r="H42" s="355"/>
      <c r="I42" s="57"/>
      <c r="J42" s="57"/>
      <c r="K42" s="57" t="s">
        <v>513</v>
      </c>
      <c r="L42" s="57"/>
      <c r="M42" s="360"/>
      <c r="N42" s="57" t="s">
        <v>507</v>
      </c>
      <c r="O42" s="57"/>
      <c r="P42" s="109"/>
      <c r="Q42" s="12"/>
      <c r="R42" s="57"/>
      <c r="S42" s="57"/>
      <c r="T42" s="12"/>
      <c r="U42" s="57"/>
      <c r="Y42" s="357"/>
      <c r="Z42" s="357"/>
      <c r="AA42" s="357"/>
    </row>
    <row r="43">
      <c r="A43" s="351">
        <f t="shared" si="1"/>
        <v>38</v>
      </c>
      <c r="B43" s="352" t="s">
        <v>702</v>
      </c>
      <c r="C43" s="57" t="s">
        <v>57</v>
      </c>
      <c r="D43" s="57" t="s">
        <v>503</v>
      </c>
      <c r="E43" s="57" t="s">
        <v>228</v>
      </c>
      <c r="F43" s="57" t="s">
        <v>498</v>
      </c>
      <c r="G43" s="57"/>
      <c r="H43" s="355"/>
      <c r="I43" s="57"/>
      <c r="J43" s="57"/>
      <c r="K43" s="57" t="s">
        <v>499</v>
      </c>
      <c r="L43" s="57"/>
      <c r="M43" s="360"/>
      <c r="N43" s="57" t="s">
        <v>507</v>
      </c>
      <c r="O43" s="57"/>
      <c r="P43" s="109"/>
      <c r="Q43" s="12"/>
      <c r="R43" s="57"/>
      <c r="S43" s="57"/>
      <c r="T43" s="12"/>
      <c r="U43" s="57"/>
      <c r="Y43" s="357"/>
      <c r="Z43" s="357"/>
      <c r="AA43" s="357"/>
    </row>
    <row r="44">
      <c r="A44" s="351">
        <f t="shared" si="1"/>
        <v>39</v>
      </c>
      <c r="B44" s="372">
        <v>45201.0</v>
      </c>
      <c r="C44" s="57" t="s">
        <v>208</v>
      </c>
      <c r="D44" s="57" t="s">
        <v>530</v>
      </c>
      <c r="E44" s="57" t="s">
        <v>228</v>
      </c>
      <c r="F44" s="57" t="s">
        <v>498</v>
      </c>
      <c r="G44" s="57" t="s">
        <v>703</v>
      </c>
      <c r="H44" s="349" t="s">
        <v>704</v>
      </c>
      <c r="I44" s="57"/>
      <c r="J44" s="57"/>
      <c r="K44" s="57" t="s">
        <v>525</v>
      </c>
      <c r="L44" s="57"/>
      <c r="M44" s="356"/>
      <c r="N44" s="57" t="s">
        <v>507</v>
      </c>
      <c r="O44" s="57"/>
      <c r="P44" s="109"/>
      <c r="Q44" s="12"/>
      <c r="R44" s="57"/>
      <c r="S44" s="57"/>
      <c r="T44" s="12"/>
      <c r="U44" s="57"/>
      <c r="Y44" s="357"/>
      <c r="Z44" s="357"/>
      <c r="AA44" s="357"/>
    </row>
    <row r="45">
      <c r="A45" s="351">
        <f t="shared" si="1"/>
        <v>40</v>
      </c>
      <c r="B45" s="372">
        <v>45202.0</v>
      </c>
      <c r="C45" s="57" t="s">
        <v>121</v>
      </c>
      <c r="D45" s="57" t="s">
        <v>530</v>
      </c>
      <c r="E45" s="57" t="s">
        <v>228</v>
      </c>
      <c r="F45" s="57" t="s">
        <v>498</v>
      </c>
      <c r="G45" s="57" t="s">
        <v>705</v>
      </c>
      <c r="H45" s="349" t="s">
        <v>706</v>
      </c>
      <c r="I45" s="57"/>
      <c r="J45" s="57"/>
      <c r="K45" s="57" t="s">
        <v>525</v>
      </c>
      <c r="L45" s="57"/>
      <c r="M45" s="356"/>
      <c r="N45" s="57" t="s">
        <v>507</v>
      </c>
      <c r="O45" s="57"/>
      <c r="P45" s="109"/>
      <c r="Q45" s="12"/>
      <c r="R45" s="57"/>
      <c r="S45" s="57"/>
      <c r="T45" s="12"/>
      <c r="U45" s="57"/>
      <c r="Y45" s="357"/>
      <c r="Z45" s="357"/>
      <c r="AA45" s="357"/>
    </row>
    <row r="46">
      <c r="A46" s="351">
        <f t="shared" si="1"/>
        <v>41</v>
      </c>
      <c r="B46" s="348" t="s">
        <v>707</v>
      </c>
      <c r="C46" s="57" t="s">
        <v>57</v>
      </c>
      <c r="D46" s="57"/>
      <c r="E46" s="57" t="s">
        <v>228</v>
      </c>
      <c r="F46" s="57" t="s">
        <v>498</v>
      </c>
      <c r="G46" s="57"/>
      <c r="H46" s="355"/>
      <c r="I46" s="57"/>
      <c r="J46" s="57"/>
      <c r="K46" s="57" t="s">
        <v>513</v>
      </c>
      <c r="L46" s="57"/>
      <c r="M46" s="356"/>
      <c r="N46" s="57" t="s">
        <v>507</v>
      </c>
      <c r="O46" s="57"/>
      <c r="P46" s="109"/>
      <c r="Q46" s="12"/>
      <c r="R46" s="57"/>
      <c r="S46" s="57"/>
      <c r="T46" s="12"/>
      <c r="U46" s="57"/>
      <c r="Y46" s="357"/>
      <c r="Z46" s="357"/>
      <c r="AA46" s="357"/>
    </row>
    <row r="47">
      <c r="A47" s="351">
        <f t="shared" si="1"/>
        <v>42</v>
      </c>
      <c r="B47" s="348" t="s">
        <v>708</v>
      </c>
      <c r="C47" s="57" t="s">
        <v>136</v>
      </c>
      <c r="D47" s="57"/>
      <c r="E47" s="57" t="s">
        <v>228</v>
      </c>
      <c r="F47" s="57" t="s">
        <v>498</v>
      </c>
      <c r="G47" s="57"/>
      <c r="H47" s="355"/>
      <c r="I47" s="57"/>
      <c r="J47" s="57"/>
      <c r="K47" s="57" t="s">
        <v>513</v>
      </c>
      <c r="L47" s="57"/>
      <c r="M47" s="356"/>
      <c r="N47" s="57" t="s">
        <v>507</v>
      </c>
      <c r="O47" s="57"/>
      <c r="P47" s="109"/>
      <c r="Q47" s="12"/>
      <c r="R47" s="57"/>
      <c r="S47" s="57"/>
      <c r="T47" s="12"/>
      <c r="U47" s="57"/>
      <c r="Y47" s="357"/>
      <c r="Z47" s="357"/>
      <c r="AA47" s="357"/>
    </row>
    <row r="48">
      <c r="A48" s="351">
        <f t="shared" si="1"/>
        <v>43</v>
      </c>
      <c r="B48" s="348" t="s">
        <v>708</v>
      </c>
      <c r="C48" s="57" t="s">
        <v>121</v>
      </c>
      <c r="D48" s="57"/>
      <c r="E48" s="57" t="s">
        <v>228</v>
      </c>
      <c r="F48" s="57" t="s">
        <v>498</v>
      </c>
      <c r="G48" s="57"/>
      <c r="H48" s="355"/>
      <c r="I48" s="57"/>
      <c r="J48" s="57"/>
      <c r="K48" s="57" t="s">
        <v>513</v>
      </c>
      <c r="L48" s="57"/>
      <c r="M48" s="356"/>
      <c r="N48" s="57" t="s">
        <v>507</v>
      </c>
      <c r="O48" s="57"/>
      <c r="P48" s="109"/>
      <c r="Q48" s="12"/>
      <c r="R48" s="57"/>
      <c r="S48" s="57"/>
      <c r="T48" s="12"/>
      <c r="U48" s="57"/>
      <c r="Y48" s="357"/>
      <c r="Z48" s="357"/>
      <c r="AA48" s="357"/>
    </row>
    <row r="49">
      <c r="A49" s="351">
        <f t="shared" si="1"/>
        <v>44</v>
      </c>
      <c r="B49" s="348" t="s">
        <v>708</v>
      </c>
      <c r="C49" s="57" t="s">
        <v>57</v>
      </c>
      <c r="D49" s="57"/>
      <c r="E49" s="57" t="s">
        <v>228</v>
      </c>
      <c r="F49" s="57" t="s">
        <v>498</v>
      </c>
      <c r="G49" s="57"/>
      <c r="H49" s="355"/>
      <c r="I49" s="57"/>
      <c r="J49" s="57"/>
      <c r="K49" s="57" t="s">
        <v>513</v>
      </c>
      <c r="L49" s="57"/>
      <c r="M49" s="356"/>
      <c r="N49" s="57" t="s">
        <v>507</v>
      </c>
      <c r="O49" s="57"/>
      <c r="P49" s="109"/>
      <c r="Q49" s="12"/>
      <c r="R49" s="57"/>
      <c r="S49" s="57"/>
      <c r="T49" s="12"/>
      <c r="U49" s="57"/>
      <c r="Y49" s="357"/>
      <c r="Z49" s="357"/>
      <c r="AA49" s="357"/>
    </row>
    <row r="50">
      <c r="A50" s="351">
        <f t="shared" si="1"/>
        <v>45</v>
      </c>
      <c r="B50" s="348" t="s">
        <v>709</v>
      </c>
      <c r="C50" s="57" t="s">
        <v>208</v>
      </c>
      <c r="D50" s="57"/>
      <c r="E50" s="57" t="s">
        <v>228</v>
      </c>
      <c r="F50" s="57" t="s">
        <v>498</v>
      </c>
      <c r="G50" s="57"/>
      <c r="H50" s="355"/>
      <c r="I50" s="57"/>
      <c r="J50" s="57"/>
      <c r="K50" s="57" t="s">
        <v>513</v>
      </c>
      <c r="L50" s="57"/>
      <c r="M50" s="356"/>
      <c r="N50" s="57" t="s">
        <v>507</v>
      </c>
      <c r="O50" s="57"/>
      <c r="P50" s="109"/>
      <c r="Q50" s="12"/>
      <c r="R50" s="57"/>
      <c r="S50" s="57"/>
      <c r="T50" s="12"/>
      <c r="U50" s="57"/>
      <c r="Y50" s="357"/>
      <c r="Z50" s="357"/>
      <c r="AA50" s="357"/>
    </row>
    <row r="51">
      <c r="A51" s="351">
        <f t="shared" si="1"/>
        <v>46</v>
      </c>
      <c r="B51" s="348" t="s">
        <v>709</v>
      </c>
      <c r="C51" s="57" t="s">
        <v>160</v>
      </c>
      <c r="D51" s="57"/>
      <c r="E51" s="57" t="s">
        <v>228</v>
      </c>
      <c r="F51" s="57" t="s">
        <v>498</v>
      </c>
      <c r="G51" s="57"/>
      <c r="H51" s="355"/>
      <c r="I51" s="57"/>
      <c r="J51" s="57"/>
      <c r="K51" s="57" t="s">
        <v>513</v>
      </c>
      <c r="L51" s="57"/>
      <c r="M51" s="356"/>
      <c r="N51" s="57" t="s">
        <v>507</v>
      </c>
      <c r="O51" s="57"/>
      <c r="P51" s="109"/>
      <c r="Q51" s="12"/>
      <c r="R51" s="57"/>
      <c r="S51" s="57"/>
      <c r="T51" s="12"/>
      <c r="U51" s="57"/>
      <c r="Y51" s="357"/>
      <c r="Z51" s="357"/>
      <c r="AA51" s="357"/>
    </row>
    <row r="52">
      <c r="A52" s="351">
        <f t="shared" si="1"/>
        <v>47</v>
      </c>
      <c r="B52" s="348" t="s">
        <v>709</v>
      </c>
      <c r="C52" s="57" t="s">
        <v>147</v>
      </c>
      <c r="D52" s="57"/>
      <c r="E52" s="57" t="s">
        <v>228</v>
      </c>
      <c r="F52" s="57" t="s">
        <v>498</v>
      </c>
      <c r="G52" s="57"/>
      <c r="H52" s="355"/>
      <c r="I52" s="57"/>
      <c r="J52" s="57"/>
      <c r="K52" s="57" t="s">
        <v>513</v>
      </c>
      <c r="L52" s="57"/>
      <c r="M52" s="356"/>
      <c r="N52" s="57" t="s">
        <v>507</v>
      </c>
      <c r="O52" s="57"/>
      <c r="P52" s="109"/>
      <c r="Q52" s="12"/>
      <c r="R52" s="57"/>
      <c r="S52" s="57"/>
      <c r="T52" s="12"/>
      <c r="U52" s="57"/>
      <c r="Y52" s="357"/>
      <c r="Z52" s="357"/>
      <c r="AA52" s="357"/>
    </row>
    <row r="53">
      <c r="A53" s="351">
        <f t="shared" si="1"/>
        <v>48</v>
      </c>
      <c r="B53" s="352" t="s">
        <v>710</v>
      </c>
      <c r="C53" s="57" t="s">
        <v>147</v>
      </c>
      <c r="D53" s="57" t="s">
        <v>527</v>
      </c>
      <c r="E53" s="57" t="s">
        <v>228</v>
      </c>
      <c r="F53" s="57" t="s">
        <v>498</v>
      </c>
      <c r="G53" s="57"/>
      <c r="H53" s="355"/>
      <c r="I53" s="57"/>
      <c r="J53" s="57"/>
      <c r="K53" s="57" t="s">
        <v>499</v>
      </c>
      <c r="L53" s="57"/>
      <c r="M53" s="356"/>
      <c r="N53" s="57" t="s">
        <v>507</v>
      </c>
      <c r="O53" s="57"/>
      <c r="P53" s="109"/>
      <c r="Q53" s="12"/>
      <c r="R53" s="57"/>
      <c r="S53" s="57"/>
      <c r="T53" s="12"/>
      <c r="U53" s="57"/>
      <c r="Y53" s="357"/>
      <c r="Z53" s="357"/>
      <c r="AA53" s="357"/>
    </row>
    <row r="54">
      <c r="A54" s="351">
        <f t="shared" si="1"/>
        <v>49</v>
      </c>
      <c r="B54" s="348" t="s">
        <v>711</v>
      </c>
      <c r="C54" s="57" t="s">
        <v>121</v>
      </c>
      <c r="D54" s="57"/>
      <c r="E54" s="57" t="s">
        <v>228</v>
      </c>
      <c r="F54" s="57" t="s">
        <v>498</v>
      </c>
      <c r="G54" s="57"/>
      <c r="H54" s="355"/>
      <c r="I54" s="57"/>
      <c r="J54" s="57"/>
      <c r="K54" s="57" t="s">
        <v>513</v>
      </c>
      <c r="L54" s="57"/>
      <c r="M54" s="360"/>
      <c r="N54" s="57" t="s">
        <v>507</v>
      </c>
      <c r="O54" s="57"/>
      <c r="P54" s="109"/>
      <c r="Q54" s="12"/>
      <c r="R54" s="57"/>
      <c r="S54" s="57"/>
      <c r="T54" s="12"/>
      <c r="U54" s="57"/>
      <c r="Y54" s="357"/>
      <c r="Z54" s="357"/>
      <c r="AA54" s="357"/>
    </row>
    <row r="55">
      <c r="A55" s="351">
        <f t="shared" si="1"/>
        <v>50</v>
      </c>
      <c r="B55" s="348" t="s">
        <v>711</v>
      </c>
      <c r="C55" s="57" t="s">
        <v>93</v>
      </c>
      <c r="D55" s="57"/>
      <c r="E55" s="57" t="s">
        <v>228</v>
      </c>
      <c r="F55" s="57" t="s">
        <v>498</v>
      </c>
      <c r="G55" s="57"/>
      <c r="H55" s="355"/>
      <c r="I55" s="57"/>
      <c r="J55" s="57"/>
      <c r="K55" s="57" t="s">
        <v>513</v>
      </c>
      <c r="L55" s="57"/>
      <c r="M55" s="360"/>
      <c r="N55" s="57" t="s">
        <v>507</v>
      </c>
      <c r="O55" s="57"/>
      <c r="P55" s="109"/>
      <c r="Q55" s="12"/>
      <c r="R55" s="57"/>
      <c r="S55" s="57"/>
      <c r="T55" s="12"/>
      <c r="U55" s="57"/>
      <c r="Y55" s="357"/>
      <c r="Z55" s="357"/>
      <c r="AA55" s="357"/>
    </row>
    <row r="56">
      <c r="A56" s="351">
        <f t="shared" si="1"/>
        <v>51</v>
      </c>
      <c r="B56" s="348" t="s">
        <v>712</v>
      </c>
      <c r="C56" s="57" t="s">
        <v>208</v>
      </c>
      <c r="D56" s="57"/>
      <c r="E56" s="57" t="s">
        <v>228</v>
      </c>
      <c r="F56" s="57" t="s">
        <v>498</v>
      </c>
      <c r="G56" s="57"/>
      <c r="H56" s="355"/>
      <c r="I56" s="57"/>
      <c r="J56" s="57"/>
      <c r="K56" s="57" t="s">
        <v>513</v>
      </c>
      <c r="L56" s="57"/>
      <c r="M56" s="360"/>
      <c r="N56" s="57" t="s">
        <v>507</v>
      </c>
      <c r="O56" s="57"/>
      <c r="P56" s="109"/>
      <c r="Q56" s="12"/>
      <c r="R56" s="57"/>
      <c r="S56" s="57"/>
      <c r="T56" s="12"/>
      <c r="U56" s="57"/>
      <c r="Y56" s="357"/>
      <c r="Z56" s="357"/>
      <c r="AA56" s="357"/>
    </row>
    <row r="57">
      <c r="A57" s="351">
        <f t="shared" si="1"/>
        <v>52</v>
      </c>
      <c r="B57" s="352" t="s">
        <v>713</v>
      </c>
      <c r="C57" s="57" t="s">
        <v>93</v>
      </c>
      <c r="D57" s="57" t="s">
        <v>527</v>
      </c>
      <c r="E57" s="57" t="s">
        <v>228</v>
      </c>
      <c r="F57" s="57" t="s">
        <v>498</v>
      </c>
      <c r="G57" s="57"/>
      <c r="H57" s="355"/>
      <c r="I57" s="57"/>
      <c r="J57" s="57"/>
      <c r="K57" s="57" t="s">
        <v>499</v>
      </c>
      <c r="L57" s="57"/>
      <c r="M57" s="360"/>
      <c r="N57" s="57" t="s">
        <v>507</v>
      </c>
      <c r="O57" s="57"/>
      <c r="P57" s="109"/>
      <c r="Q57" s="12"/>
      <c r="R57" s="57"/>
      <c r="S57" s="57"/>
      <c r="T57" s="12"/>
      <c r="U57" s="57"/>
      <c r="Y57" s="357"/>
      <c r="Z57" s="357"/>
      <c r="AA57" s="357"/>
    </row>
    <row r="58">
      <c r="A58" s="351">
        <f t="shared" si="1"/>
        <v>53</v>
      </c>
      <c r="B58" s="352" t="s">
        <v>713</v>
      </c>
      <c r="C58" s="57" t="s">
        <v>159</v>
      </c>
      <c r="D58" s="57" t="s">
        <v>527</v>
      </c>
      <c r="E58" s="57" t="s">
        <v>228</v>
      </c>
      <c r="F58" s="57" t="s">
        <v>498</v>
      </c>
      <c r="G58" s="57"/>
      <c r="H58" s="355"/>
      <c r="I58" s="57"/>
      <c r="J58" s="57"/>
      <c r="K58" s="57" t="s">
        <v>499</v>
      </c>
      <c r="L58" s="57"/>
      <c r="M58" s="356"/>
      <c r="N58" s="57" t="s">
        <v>507</v>
      </c>
      <c r="O58" s="57"/>
      <c r="P58" s="109"/>
      <c r="Q58" s="12"/>
      <c r="R58" s="57"/>
      <c r="S58" s="57"/>
      <c r="T58" s="12"/>
      <c r="U58" s="57"/>
      <c r="Y58" s="357"/>
      <c r="Z58" s="357"/>
      <c r="AA58" s="357"/>
    </row>
    <row r="59">
      <c r="A59" s="351">
        <f t="shared" si="1"/>
        <v>54</v>
      </c>
      <c r="B59" s="352" t="s">
        <v>714</v>
      </c>
      <c r="C59" s="57" t="s">
        <v>132</v>
      </c>
      <c r="D59" s="57" t="s">
        <v>497</v>
      </c>
      <c r="E59" s="57" t="s">
        <v>228</v>
      </c>
      <c r="F59" s="57" t="s">
        <v>498</v>
      </c>
      <c r="G59" s="57"/>
      <c r="H59" s="355"/>
      <c r="I59" s="57"/>
      <c r="J59" s="57"/>
      <c r="K59" s="57" t="s">
        <v>499</v>
      </c>
      <c r="L59" s="57"/>
      <c r="M59" s="350"/>
      <c r="N59" s="57" t="s">
        <v>507</v>
      </c>
      <c r="O59" s="57"/>
      <c r="P59" s="109"/>
      <c r="Q59" s="12"/>
      <c r="R59" s="57"/>
      <c r="S59" s="57"/>
      <c r="T59" s="12"/>
      <c r="U59" s="57"/>
      <c r="Y59" s="357"/>
      <c r="Z59" s="357"/>
      <c r="AA59" s="357"/>
    </row>
    <row r="60">
      <c r="A60" s="351">
        <f t="shared" si="1"/>
        <v>55</v>
      </c>
      <c r="B60" s="352" t="s">
        <v>715</v>
      </c>
      <c r="C60" s="57" t="s">
        <v>155</v>
      </c>
      <c r="D60" s="57" t="s">
        <v>497</v>
      </c>
      <c r="E60" s="57" t="s">
        <v>228</v>
      </c>
      <c r="F60" s="57" t="s">
        <v>498</v>
      </c>
      <c r="G60" s="57"/>
      <c r="H60" s="355"/>
      <c r="I60" s="57"/>
      <c r="J60" s="57"/>
      <c r="K60" s="57" t="s">
        <v>499</v>
      </c>
      <c r="L60" s="57"/>
      <c r="M60" s="350"/>
      <c r="N60" s="57" t="s">
        <v>507</v>
      </c>
      <c r="O60" s="57"/>
      <c r="P60" s="109"/>
      <c r="Q60" s="12"/>
      <c r="R60" s="57"/>
      <c r="S60" s="57"/>
      <c r="T60" s="12"/>
      <c r="U60" s="57"/>
      <c r="Y60" s="357"/>
      <c r="Z60" s="357"/>
      <c r="AA60" s="357"/>
    </row>
    <row r="61">
      <c r="A61" s="351">
        <f t="shared" si="1"/>
        <v>56</v>
      </c>
      <c r="B61" s="352" t="s">
        <v>715</v>
      </c>
      <c r="C61" s="57" t="s">
        <v>208</v>
      </c>
      <c r="D61" s="57" t="s">
        <v>503</v>
      </c>
      <c r="E61" s="57" t="s">
        <v>228</v>
      </c>
      <c r="F61" s="57" t="s">
        <v>498</v>
      </c>
      <c r="G61" s="57"/>
      <c r="H61" s="373"/>
      <c r="I61" s="57"/>
      <c r="J61" s="57"/>
      <c r="K61" s="57" t="s">
        <v>499</v>
      </c>
      <c r="L61" s="57"/>
      <c r="M61" s="350"/>
      <c r="N61" s="57" t="s">
        <v>507</v>
      </c>
      <c r="O61" s="57"/>
      <c r="P61" s="109"/>
      <c r="Q61" s="12"/>
      <c r="R61" s="57"/>
      <c r="S61" s="57"/>
      <c r="T61" s="12"/>
      <c r="U61" s="57"/>
      <c r="Y61" s="357"/>
      <c r="Z61" s="357"/>
      <c r="AA61" s="357"/>
    </row>
    <row r="62">
      <c r="A62" s="351">
        <f t="shared" si="1"/>
        <v>57</v>
      </c>
      <c r="B62" s="352" t="s">
        <v>715</v>
      </c>
      <c r="C62" s="57" t="s">
        <v>160</v>
      </c>
      <c r="D62" s="57" t="s">
        <v>503</v>
      </c>
      <c r="E62" s="57" t="s">
        <v>228</v>
      </c>
      <c r="F62" s="57" t="s">
        <v>498</v>
      </c>
      <c r="G62" s="57"/>
      <c r="H62" s="355"/>
      <c r="I62" s="57"/>
      <c r="J62" s="57"/>
      <c r="K62" s="57" t="s">
        <v>499</v>
      </c>
      <c r="L62" s="57"/>
      <c r="M62" s="350"/>
      <c r="N62" s="57" t="s">
        <v>507</v>
      </c>
      <c r="O62" s="57"/>
      <c r="P62" s="109"/>
      <c r="Q62" s="12"/>
      <c r="R62" s="57"/>
      <c r="S62" s="57"/>
      <c r="T62" s="12"/>
      <c r="U62" s="57"/>
      <c r="Y62" s="357"/>
      <c r="Z62" s="357"/>
      <c r="AA62" s="357"/>
    </row>
    <row r="63">
      <c r="A63" s="351">
        <f t="shared" si="1"/>
        <v>58</v>
      </c>
      <c r="B63" s="348" t="s">
        <v>716</v>
      </c>
      <c r="C63" s="57" t="s">
        <v>143</v>
      </c>
      <c r="D63" s="57"/>
      <c r="E63" s="57" t="s">
        <v>228</v>
      </c>
      <c r="F63" s="57" t="s">
        <v>498</v>
      </c>
      <c r="G63" s="57"/>
      <c r="H63" s="355"/>
      <c r="I63" s="57"/>
      <c r="J63" s="57"/>
      <c r="K63" s="57" t="s">
        <v>513</v>
      </c>
      <c r="L63" s="57"/>
      <c r="M63" s="350"/>
      <c r="N63" s="57" t="s">
        <v>507</v>
      </c>
      <c r="O63" s="57"/>
      <c r="P63" s="109"/>
      <c r="Q63" s="12"/>
      <c r="R63" s="57"/>
      <c r="S63" s="57"/>
      <c r="T63" s="12"/>
      <c r="U63" s="57"/>
      <c r="Y63" s="357"/>
      <c r="Z63" s="357"/>
      <c r="AA63" s="357"/>
    </row>
    <row r="64">
      <c r="A64" s="351">
        <f t="shared" si="1"/>
        <v>59</v>
      </c>
      <c r="B64" s="352" t="s">
        <v>717</v>
      </c>
      <c r="C64" s="57" t="s">
        <v>136</v>
      </c>
      <c r="D64" s="57"/>
      <c r="E64" s="57" t="s">
        <v>228</v>
      </c>
      <c r="F64" s="57" t="s">
        <v>498</v>
      </c>
      <c r="G64" s="57"/>
      <c r="H64" s="355"/>
      <c r="I64" s="57"/>
      <c r="J64" s="57"/>
      <c r="K64" s="57" t="s">
        <v>499</v>
      </c>
      <c r="L64" s="57"/>
      <c r="M64" s="350"/>
      <c r="N64" s="57" t="s">
        <v>507</v>
      </c>
      <c r="O64" s="57"/>
      <c r="P64" s="109"/>
      <c r="Q64" s="12"/>
      <c r="R64" s="57"/>
      <c r="S64" s="57"/>
      <c r="T64" s="12"/>
      <c r="U64" s="57"/>
      <c r="Y64" s="357"/>
      <c r="Z64" s="357"/>
      <c r="AA64" s="357"/>
    </row>
    <row r="65">
      <c r="A65" s="351">
        <f t="shared" si="1"/>
        <v>60</v>
      </c>
      <c r="B65" s="352" t="s">
        <v>718</v>
      </c>
      <c r="C65" s="57" t="s">
        <v>93</v>
      </c>
      <c r="D65" s="57" t="s">
        <v>503</v>
      </c>
      <c r="E65" s="57" t="s">
        <v>228</v>
      </c>
      <c r="F65" s="57" t="s">
        <v>498</v>
      </c>
      <c r="G65" s="57"/>
      <c r="H65" s="355"/>
      <c r="I65" s="57"/>
      <c r="J65" s="57"/>
      <c r="K65" s="57" t="s">
        <v>499</v>
      </c>
      <c r="L65" s="57"/>
      <c r="M65" s="350"/>
      <c r="N65" s="57" t="s">
        <v>507</v>
      </c>
      <c r="O65" s="57"/>
      <c r="P65" s="109"/>
      <c r="Q65" s="12"/>
      <c r="R65" s="57"/>
      <c r="S65" s="57"/>
      <c r="T65" s="12"/>
      <c r="U65" s="57"/>
      <c r="Y65" s="357"/>
      <c r="Z65" s="374"/>
      <c r="AA65" s="357"/>
    </row>
    <row r="66">
      <c r="A66" s="351">
        <f t="shared" si="1"/>
        <v>61</v>
      </c>
      <c r="B66" s="352" t="s">
        <v>718</v>
      </c>
      <c r="C66" s="57" t="s">
        <v>159</v>
      </c>
      <c r="D66" s="57" t="s">
        <v>503</v>
      </c>
      <c r="E66" s="57" t="s">
        <v>228</v>
      </c>
      <c r="F66" s="57" t="s">
        <v>498</v>
      </c>
      <c r="G66" s="57"/>
      <c r="H66" s="355"/>
      <c r="I66" s="57"/>
      <c r="J66" s="57"/>
      <c r="K66" s="57" t="s">
        <v>499</v>
      </c>
      <c r="L66" s="57"/>
      <c r="M66" s="350"/>
      <c r="N66" s="57" t="s">
        <v>507</v>
      </c>
      <c r="O66" s="57"/>
      <c r="P66" s="109"/>
      <c r="Q66" s="12"/>
      <c r="R66" s="57"/>
      <c r="S66" s="57"/>
      <c r="T66" s="12"/>
      <c r="U66" s="57"/>
      <c r="Y66" s="357"/>
      <c r="Z66" s="357"/>
      <c r="AA66" s="357"/>
    </row>
    <row r="67">
      <c r="A67" s="351">
        <f t="shared" si="1"/>
        <v>62</v>
      </c>
      <c r="B67" s="348" t="s">
        <v>719</v>
      </c>
      <c r="C67" s="57" t="s">
        <v>155</v>
      </c>
      <c r="D67" s="57"/>
      <c r="E67" s="57" t="s">
        <v>228</v>
      </c>
      <c r="F67" s="57" t="s">
        <v>498</v>
      </c>
      <c r="G67" s="57"/>
      <c r="H67" s="355"/>
      <c r="I67" s="57"/>
      <c r="J67" s="57"/>
      <c r="K67" s="57" t="s">
        <v>513</v>
      </c>
      <c r="L67" s="57"/>
      <c r="M67" s="350"/>
      <c r="N67" s="57" t="s">
        <v>507</v>
      </c>
      <c r="O67" s="57"/>
      <c r="P67" s="109"/>
      <c r="Q67" s="12"/>
      <c r="R67" s="57"/>
      <c r="S67" s="57"/>
      <c r="T67" s="12"/>
      <c r="U67" s="57"/>
      <c r="Y67" s="357"/>
      <c r="Z67" s="357"/>
      <c r="AA67" s="357"/>
    </row>
    <row r="68">
      <c r="A68" s="351">
        <f t="shared" si="1"/>
        <v>63</v>
      </c>
      <c r="B68" s="352" t="s">
        <v>720</v>
      </c>
      <c r="C68" s="57" t="s">
        <v>147</v>
      </c>
      <c r="D68" s="57" t="s">
        <v>497</v>
      </c>
      <c r="E68" s="57" t="s">
        <v>228</v>
      </c>
      <c r="F68" s="57" t="s">
        <v>498</v>
      </c>
      <c r="G68" s="57"/>
      <c r="H68" s="355"/>
      <c r="I68" s="57"/>
      <c r="J68" s="57"/>
      <c r="K68" s="57" t="s">
        <v>499</v>
      </c>
      <c r="L68" s="57"/>
      <c r="M68" s="350"/>
      <c r="N68" s="57" t="s">
        <v>507</v>
      </c>
      <c r="O68" s="57"/>
      <c r="P68" s="109"/>
      <c r="Q68" s="12"/>
      <c r="R68" s="57"/>
      <c r="S68" s="57"/>
      <c r="T68" s="12"/>
      <c r="U68" s="57"/>
      <c r="Y68" s="357"/>
      <c r="Z68" s="357"/>
      <c r="AA68" s="357"/>
    </row>
    <row r="69">
      <c r="A69" s="351">
        <f t="shared" si="1"/>
        <v>64</v>
      </c>
      <c r="B69" s="348" t="s">
        <v>721</v>
      </c>
      <c r="C69" s="57" t="s">
        <v>208</v>
      </c>
      <c r="D69" s="57"/>
      <c r="E69" s="57" t="s">
        <v>228</v>
      </c>
      <c r="F69" s="57" t="s">
        <v>498</v>
      </c>
      <c r="G69" s="57"/>
      <c r="H69" s="355"/>
      <c r="I69" s="57"/>
      <c r="J69" s="57"/>
      <c r="K69" s="57" t="s">
        <v>513</v>
      </c>
      <c r="L69" s="57"/>
      <c r="M69" s="350"/>
      <c r="N69" s="57" t="s">
        <v>507</v>
      </c>
      <c r="O69" s="57"/>
      <c r="P69" s="109"/>
      <c r="Q69" s="12"/>
      <c r="R69" s="57"/>
      <c r="S69" s="57"/>
      <c r="T69" s="12"/>
      <c r="U69" s="57"/>
      <c r="Y69" s="357"/>
      <c r="Z69" s="357"/>
      <c r="AA69" s="357"/>
    </row>
    <row r="70">
      <c r="A70" s="351">
        <f t="shared" si="1"/>
        <v>65</v>
      </c>
      <c r="B70" s="352" t="s">
        <v>722</v>
      </c>
      <c r="C70" s="57" t="s">
        <v>57</v>
      </c>
      <c r="D70" s="57" t="s">
        <v>503</v>
      </c>
      <c r="E70" s="57" t="s">
        <v>228</v>
      </c>
      <c r="F70" s="57" t="s">
        <v>498</v>
      </c>
      <c r="G70" s="57"/>
      <c r="H70" s="355"/>
      <c r="I70" s="57"/>
      <c r="J70" s="57"/>
      <c r="K70" s="57" t="s">
        <v>499</v>
      </c>
      <c r="L70" s="57"/>
      <c r="M70" s="350"/>
      <c r="N70" s="57" t="s">
        <v>507</v>
      </c>
      <c r="O70" s="57"/>
      <c r="P70" s="109"/>
      <c r="Q70" s="12"/>
      <c r="R70" s="57"/>
      <c r="S70" s="57"/>
      <c r="T70" s="12"/>
      <c r="U70" s="57"/>
      <c r="Y70" s="357"/>
      <c r="Z70" s="357"/>
      <c r="AA70" s="357"/>
    </row>
    <row r="71">
      <c r="A71" s="351">
        <f t="shared" si="1"/>
        <v>66</v>
      </c>
      <c r="B71" s="352" t="s">
        <v>722</v>
      </c>
      <c r="C71" s="57" t="s">
        <v>57</v>
      </c>
      <c r="D71" s="57" t="s">
        <v>497</v>
      </c>
      <c r="E71" s="57" t="s">
        <v>228</v>
      </c>
      <c r="F71" s="57" t="s">
        <v>498</v>
      </c>
      <c r="G71" s="57"/>
      <c r="H71" s="355"/>
      <c r="I71" s="57"/>
      <c r="J71" s="57"/>
      <c r="K71" s="57" t="s">
        <v>499</v>
      </c>
      <c r="L71" s="57"/>
      <c r="M71" s="350"/>
      <c r="N71" s="57" t="s">
        <v>507</v>
      </c>
      <c r="O71" s="57"/>
      <c r="P71" s="109"/>
      <c r="Q71" s="12"/>
      <c r="R71" s="57"/>
      <c r="S71" s="57"/>
      <c r="T71" s="12"/>
      <c r="U71" s="57"/>
      <c r="Y71" s="357"/>
      <c r="Z71" s="357"/>
      <c r="AA71" s="357"/>
    </row>
    <row r="72">
      <c r="A72" s="351">
        <f t="shared" si="1"/>
        <v>67</v>
      </c>
      <c r="B72" s="352" t="s">
        <v>723</v>
      </c>
      <c r="C72" s="57" t="s">
        <v>147</v>
      </c>
      <c r="D72" s="57" t="s">
        <v>497</v>
      </c>
      <c r="E72" s="57" t="s">
        <v>228</v>
      </c>
      <c r="F72" s="57" t="s">
        <v>498</v>
      </c>
      <c r="G72" s="57"/>
      <c r="H72" s="355"/>
      <c r="I72" s="57"/>
      <c r="J72" s="57"/>
      <c r="K72" s="57" t="s">
        <v>499</v>
      </c>
      <c r="L72" s="57"/>
      <c r="M72" s="350"/>
      <c r="N72" s="57" t="s">
        <v>507</v>
      </c>
      <c r="O72" s="57"/>
      <c r="P72" s="109"/>
      <c r="Q72" s="12"/>
      <c r="R72" s="57"/>
      <c r="S72" s="57"/>
      <c r="T72" s="12"/>
      <c r="U72" s="57"/>
      <c r="Y72" s="357"/>
      <c r="Z72" s="357"/>
      <c r="AA72" s="374"/>
    </row>
    <row r="73">
      <c r="A73" s="351">
        <f t="shared" si="1"/>
        <v>68</v>
      </c>
      <c r="B73" s="352" t="s">
        <v>723</v>
      </c>
      <c r="C73" s="57" t="s">
        <v>159</v>
      </c>
      <c r="D73" s="57" t="s">
        <v>497</v>
      </c>
      <c r="E73" s="57" t="s">
        <v>228</v>
      </c>
      <c r="F73" s="57" t="s">
        <v>498</v>
      </c>
      <c r="G73" s="57"/>
      <c r="H73" s="355"/>
      <c r="I73" s="57"/>
      <c r="J73" s="57"/>
      <c r="K73" s="57" t="s">
        <v>499</v>
      </c>
      <c r="L73" s="57"/>
      <c r="M73" s="350"/>
      <c r="N73" s="57" t="s">
        <v>507</v>
      </c>
      <c r="O73" s="57"/>
      <c r="P73" s="109"/>
      <c r="Q73" s="12"/>
      <c r="R73" s="57"/>
      <c r="S73" s="57"/>
      <c r="T73" s="12"/>
      <c r="U73" s="57"/>
      <c r="Y73" s="357"/>
      <c r="Z73" s="357"/>
      <c r="AA73" s="374"/>
    </row>
    <row r="74">
      <c r="A74" s="351">
        <f t="shared" si="1"/>
        <v>69</v>
      </c>
      <c r="B74" s="375">
        <v>45325.0</v>
      </c>
      <c r="C74" s="57" t="s">
        <v>120</v>
      </c>
      <c r="D74" s="57" t="s">
        <v>530</v>
      </c>
      <c r="E74" s="57" t="s">
        <v>228</v>
      </c>
      <c r="F74" s="57" t="s">
        <v>498</v>
      </c>
      <c r="G74" s="57" t="s">
        <v>724</v>
      </c>
      <c r="H74" s="349" t="s">
        <v>725</v>
      </c>
      <c r="I74" s="57"/>
      <c r="J74" s="57"/>
      <c r="K74" s="57" t="s">
        <v>525</v>
      </c>
      <c r="L74" s="57"/>
      <c r="M74" s="350"/>
      <c r="N74" s="57" t="s">
        <v>507</v>
      </c>
      <c r="O74" s="57"/>
      <c r="P74" s="109"/>
      <c r="Q74" s="12"/>
      <c r="R74" s="57"/>
      <c r="S74" s="57"/>
      <c r="T74" s="12"/>
      <c r="U74" s="57"/>
      <c r="Y74" s="357"/>
      <c r="Z74" s="357"/>
      <c r="AA74" s="374"/>
    </row>
    <row r="75">
      <c r="A75" s="351">
        <f t="shared" si="1"/>
        <v>70</v>
      </c>
      <c r="B75" s="352" t="s">
        <v>726</v>
      </c>
      <c r="C75" s="57" t="s">
        <v>57</v>
      </c>
      <c r="D75" s="57" t="s">
        <v>497</v>
      </c>
      <c r="E75" s="57" t="s">
        <v>228</v>
      </c>
      <c r="F75" s="57" t="s">
        <v>498</v>
      </c>
      <c r="G75" s="57"/>
      <c r="H75" s="355"/>
      <c r="I75" s="57"/>
      <c r="J75" s="57"/>
      <c r="K75" s="57" t="s">
        <v>499</v>
      </c>
      <c r="L75" s="57"/>
      <c r="M75" s="350"/>
      <c r="N75" s="57" t="s">
        <v>507</v>
      </c>
      <c r="O75" s="57"/>
      <c r="P75" s="109"/>
      <c r="Q75" s="12"/>
      <c r="R75" s="57"/>
      <c r="S75" s="57"/>
      <c r="T75" s="12"/>
      <c r="U75" s="57"/>
      <c r="Y75" s="357"/>
      <c r="Z75" s="357"/>
      <c r="AA75" s="374"/>
    </row>
    <row r="76">
      <c r="A76" s="351">
        <f t="shared" si="1"/>
        <v>71</v>
      </c>
      <c r="B76" s="352" t="s">
        <v>727</v>
      </c>
      <c r="C76" s="57" t="s">
        <v>155</v>
      </c>
      <c r="D76" s="57" t="s">
        <v>503</v>
      </c>
      <c r="E76" s="57" t="s">
        <v>228</v>
      </c>
      <c r="F76" s="57" t="s">
        <v>498</v>
      </c>
      <c r="G76" s="57"/>
      <c r="H76" s="355"/>
      <c r="I76" s="57"/>
      <c r="J76" s="57"/>
      <c r="K76" s="57" t="s">
        <v>499</v>
      </c>
      <c r="L76" s="57"/>
      <c r="M76" s="350"/>
      <c r="N76" s="57" t="s">
        <v>507</v>
      </c>
      <c r="O76" s="57"/>
      <c r="P76" s="109"/>
      <c r="Q76" s="12"/>
      <c r="R76" s="57"/>
      <c r="S76" s="57"/>
      <c r="T76" s="12"/>
      <c r="U76" s="57"/>
      <c r="Y76" s="357"/>
      <c r="Z76" s="357"/>
      <c r="AA76" s="357"/>
    </row>
    <row r="77">
      <c r="A77" s="351">
        <f t="shared" si="1"/>
        <v>72</v>
      </c>
      <c r="B77" s="352" t="s">
        <v>728</v>
      </c>
      <c r="C77" s="57" t="s">
        <v>132</v>
      </c>
      <c r="D77" s="57" t="s">
        <v>536</v>
      </c>
      <c r="E77" s="57" t="s">
        <v>228</v>
      </c>
      <c r="F77" s="57" t="s">
        <v>498</v>
      </c>
      <c r="G77" s="57"/>
      <c r="H77" s="355"/>
      <c r="I77" s="57"/>
      <c r="J77" s="57"/>
      <c r="K77" s="57" t="s">
        <v>499</v>
      </c>
      <c r="L77" s="57"/>
      <c r="M77" s="350"/>
      <c r="N77" s="57" t="s">
        <v>507</v>
      </c>
      <c r="O77" s="57"/>
      <c r="P77" s="109"/>
      <c r="Q77" s="12"/>
      <c r="R77" s="57"/>
      <c r="S77" s="57"/>
      <c r="T77" s="12"/>
      <c r="U77" s="57"/>
      <c r="Y77" s="357"/>
      <c r="Z77" s="357"/>
      <c r="AA77" s="357"/>
    </row>
    <row r="78">
      <c r="A78" s="351">
        <f t="shared" si="1"/>
        <v>73</v>
      </c>
      <c r="B78" s="352" t="s">
        <v>728</v>
      </c>
      <c r="C78" s="57" t="s">
        <v>168</v>
      </c>
      <c r="D78" s="57" t="s">
        <v>497</v>
      </c>
      <c r="E78" s="57" t="s">
        <v>228</v>
      </c>
      <c r="F78" s="57" t="s">
        <v>498</v>
      </c>
      <c r="G78" s="57"/>
      <c r="H78" s="355"/>
      <c r="I78" s="57"/>
      <c r="J78" s="57"/>
      <c r="K78" s="57" t="s">
        <v>499</v>
      </c>
      <c r="L78" s="57"/>
      <c r="M78" s="350"/>
      <c r="N78" s="57" t="s">
        <v>507</v>
      </c>
      <c r="O78" s="57"/>
      <c r="P78" s="109"/>
      <c r="Q78" s="12"/>
      <c r="R78" s="57"/>
      <c r="S78" s="57"/>
      <c r="T78" s="12"/>
      <c r="U78" s="57"/>
      <c r="Y78" s="357"/>
      <c r="Z78" s="357"/>
      <c r="AA78" s="357"/>
    </row>
    <row r="79">
      <c r="A79" s="351">
        <f t="shared" si="1"/>
        <v>74</v>
      </c>
      <c r="B79" s="352" t="s">
        <v>729</v>
      </c>
      <c r="C79" s="57" t="s">
        <v>132</v>
      </c>
      <c r="D79" s="57" t="s">
        <v>497</v>
      </c>
      <c r="E79" s="57" t="s">
        <v>228</v>
      </c>
      <c r="F79" s="57" t="s">
        <v>498</v>
      </c>
      <c r="G79" s="57"/>
      <c r="H79" s="355"/>
      <c r="I79" s="57"/>
      <c r="J79" s="57"/>
      <c r="K79" s="57" t="s">
        <v>499</v>
      </c>
      <c r="L79" s="57"/>
      <c r="M79" s="350"/>
      <c r="N79" s="57" t="s">
        <v>507</v>
      </c>
      <c r="O79" s="57"/>
      <c r="P79" s="109"/>
      <c r="Q79" s="12"/>
      <c r="R79" s="57"/>
      <c r="S79" s="57"/>
      <c r="T79" s="12"/>
      <c r="U79" s="57"/>
      <c r="Y79" s="357"/>
      <c r="Z79" s="357"/>
      <c r="AA79" s="357"/>
    </row>
    <row r="80">
      <c r="A80" s="351">
        <f t="shared" si="1"/>
        <v>75</v>
      </c>
      <c r="B80" s="352" t="s">
        <v>729</v>
      </c>
      <c r="C80" s="57" t="s">
        <v>132</v>
      </c>
      <c r="D80" s="57" t="s">
        <v>497</v>
      </c>
      <c r="E80" s="57" t="s">
        <v>228</v>
      </c>
      <c r="F80" s="57" t="s">
        <v>498</v>
      </c>
      <c r="G80" s="57"/>
      <c r="H80" s="355"/>
      <c r="I80" s="57"/>
      <c r="J80" s="57"/>
      <c r="K80" s="57" t="s">
        <v>499</v>
      </c>
      <c r="L80" s="57"/>
      <c r="M80" s="350"/>
      <c r="N80" s="57" t="s">
        <v>507</v>
      </c>
      <c r="O80" s="57"/>
      <c r="P80" s="109"/>
      <c r="Q80" s="12"/>
      <c r="R80" s="57"/>
      <c r="S80" s="57"/>
      <c r="T80" s="12"/>
      <c r="U80" s="57"/>
      <c r="Y80" s="357"/>
      <c r="Z80" s="357"/>
      <c r="AA80" s="357"/>
    </row>
    <row r="81">
      <c r="A81" s="351">
        <f t="shared" si="1"/>
        <v>76</v>
      </c>
      <c r="B81" s="352" t="s">
        <v>730</v>
      </c>
      <c r="C81" s="57" t="s">
        <v>104</v>
      </c>
      <c r="D81" s="57" t="s">
        <v>497</v>
      </c>
      <c r="E81" s="57" t="s">
        <v>228</v>
      </c>
      <c r="F81" s="57" t="s">
        <v>498</v>
      </c>
      <c r="G81" s="57"/>
      <c r="H81" s="355"/>
      <c r="I81" s="57"/>
      <c r="J81" s="57"/>
      <c r="K81" s="57" t="s">
        <v>499</v>
      </c>
      <c r="L81" s="57"/>
      <c r="M81" s="350"/>
      <c r="N81" s="57" t="s">
        <v>507</v>
      </c>
      <c r="O81" s="57"/>
      <c r="P81" s="109"/>
      <c r="Q81" s="12"/>
      <c r="R81" s="57"/>
      <c r="S81" s="57"/>
      <c r="T81" s="12"/>
      <c r="U81" s="57"/>
      <c r="Y81" s="357"/>
      <c r="Z81" s="357"/>
      <c r="AA81" s="357"/>
    </row>
    <row r="82">
      <c r="A82" s="351">
        <f t="shared" si="1"/>
        <v>77</v>
      </c>
      <c r="B82" s="352" t="s">
        <v>731</v>
      </c>
      <c r="C82" s="57" t="s">
        <v>160</v>
      </c>
      <c r="D82" s="57" t="s">
        <v>503</v>
      </c>
      <c r="E82" s="57" t="s">
        <v>228</v>
      </c>
      <c r="F82" s="57" t="s">
        <v>498</v>
      </c>
      <c r="G82" s="57"/>
      <c r="H82" s="355"/>
      <c r="I82" s="57"/>
      <c r="J82" s="57"/>
      <c r="K82" s="57" t="s">
        <v>499</v>
      </c>
      <c r="L82" s="57"/>
      <c r="M82" s="350"/>
      <c r="N82" s="57" t="s">
        <v>507</v>
      </c>
      <c r="O82" s="57"/>
      <c r="P82" s="109"/>
      <c r="Q82" s="12"/>
      <c r="R82" s="57"/>
      <c r="S82" s="57"/>
      <c r="T82" s="12"/>
      <c r="U82" s="57"/>
      <c r="Y82" s="357"/>
      <c r="Z82" s="357"/>
      <c r="AA82" s="357"/>
    </row>
    <row r="83">
      <c r="A83" s="351">
        <f t="shared" si="1"/>
        <v>78</v>
      </c>
      <c r="B83" s="352" t="s">
        <v>732</v>
      </c>
      <c r="C83" s="57" t="s">
        <v>168</v>
      </c>
      <c r="D83" s="57" t="s">
        <v>497</v>
      </c>
      <c r="E83" s="57" t="s">
        <v>228</v>
      </c>
      <c r="F83" s="57" t="s">
        <v>498</v>
      </c>
      <c r="G83" s="57"/>
      <c r="H83" s="355"/>
      <c r="I83" s="57"/>
      <c r="J83" s="57"/>
      <c r="K83" s="57" t="s">
        <v>499</v>
      </c>
      <c r="L83" s="57"/>
      <c r="M83" s="350"/>
      <c r="N83" s="57" t="s">
        <v>507</v>
      </c>
      <c r="O83" s="57"/>
      <c r="P83" s="109"/>
      <c r="Q83" s="12"/>
      <c r="R83" s="57"/>
      <c r="S83" s="57"/>
      <c r="T83" s="12"/>
      <c r="U83" s="57"/>
      <c r="Y83" s="357"/>
      <c r="Z83" s="357"/>
      <c r="AA83" s="357"/>
    </row>
    <row r="84">
      <c r="A84" s="351">
        <f t="shared" si="1"/>
        <v>79</v>
      </c>
      <c r="B84" s="352" t="s">
        <v>732</v>
      </c>
      <c r="C84" s="57" t="s">
        <v>121</v>
      </c>
      <c r="D84" s="57" t="s">
        <v>497</v>
      </c>
      <c r="E84" s="57" t="s">
        <v>228</v>
      </c>
      <c r="F84" s="57" t="s">
        <v>498</v>
      </c>
      <c r="G84" s="57"/>
      <c r="H84" s="376"/>
      <c r="I84" s="57"/>
      <c r="J84" s="57"/>
      <c r="K84" s="57" t="s">
        <v>499</v>
      </c>
      <c r="L84" s="57"/>
      <c r="M84" s="350"/>
      <c r="N84" s="57" t="s">
        <v>507</v>
      </c>
      <c r="O84" s="57"/>
      <c r="P84" s="109"/>
      <c r="Q84" s="12"/>
      <c r="R84" s="57"/>
      <c r="S84" s="57"/>
      <c r="T84" s="12"/>
      <c r="U84" s="57"/>
      <c r="Y84" s="357"/>
      <c r="Z84" s="357"/>
      <c r="AA84" s="357"/>
    </row>
    <row r="85">
      <c r="A85" s="351">
        <f t="shared" si="1"/>
        <v>80</v>
      </c>
      <c r="B85" s="375">
        <v>45365.0</v>
      </c>
      <c r="C85" s="57" t="s">
        <v>93</v>
      </c>
      <c r="D85" s="57" t="s">
        <v>511</v>
      </c>
      <c r="E85" s="57" t="s">
        <v>228</v>
      </c>
      <c r="F85" s="57" t="s">
        <v>498</v>
      </c>
      <c r="G85" s="57" t="s">
        <v>733</v>
      </c>
      <c r="H85" s="377" t="s">
        <v>734</v>
      </c>
      <c r="I85" s="57"/>
      <c r="J85" s="57"/>
      <c r="K85" s="57" t="s">
        <v>525</v>
      </c>
      <c r="L85" s="57"/>
      <c r="M85" s="350"/>
      <c r="N85" s="57" t="s">
        <v>507</v>
      </c>
      <c r="O85" s="57"/>
      <c r="P85" s="109"/>
      <c r="Q85" s="12"/>
      <c r="R85" s="57"/>
      <c r="S85" s="57"/>
      <c r="T85" s="12"/>
      <c r="U85" s="57"/>
      <c r="Y85" s="357"/>
      <c r="Z85" s="357"/>
      <c r="AA85" s="357"/>
    </row>
    <row r="86">
      <c r="A86" s="351">
        <f t="shared" si="1"/>
        <v>81</v>
      </c>
      <c r="B86" s="375">
        <v>45365.0</v>
      </c>
      <c r="C86" s="57" t="s">
        <v>120</v>
      </c>
      <c r="D86" s="57" t="s">
        <v>511</v>
      </c>
      <c r="E86" s="57" t="s">
        <v>228</v>
      </c>
      <c r="F86" s="57" t="s">
        <v>498</v>
      </c>
      <c r="G86" s="57" t="s">
        <v>735</v>
      </c>
      <c r="H86" s="377" t="s">
        <v>736</v>
      </c>
      <c r="I86" s="57"/>
      <c r="J86" s="57"/>
      <c r="K86" s="57" t="s">
        <v>525</v>
      </c>
      <c r="L86" s="57"/>
      <c r="M86" s="350"/>
      <c r="N86" s="57" t="s">
        <v>507</v>
      </c>
      <c r="O86" s="57"/>
      <c r="P86" s="109"/>
      <c r="Q86" s="12"/>
      <c r="R86" s="57"/>
      <c r="S86" s="57"/>
      <c r="T86" s="12"/>
      <c r="U86" s="57"/>
      <c r="Y86" s="357"/>
      <c r="Z86" s="357"/>
      <c r="AA86" s="357"/>
    </row>
    <row r="87">
      <c r="A87" s="351">
        <f t="shared" si="1"/>
        <v>82</v>
      </c>
      <c r="B87" s="352" t="s">
        <v>737</v>
      </c>
      <c r="C87" s="57" t="s">
        <v>168</v>
      </c>
      <c r="D87" s="57" t="s">
        <v>497</v>
      </c>
      <c r="E87" s="57" t="s">
        <v>228</v>
      </c>
      <c r="F87" s="57" t="s">
        <v>498</v>
      </c>
      <c r="G87" s="57"/>
      <c r="H87" s="378"/>
      <c r="I87" s="57"/>
      <c r="J87" s="57"/>
      <c r="K87" s="57" t="s">
        <v>499</v>
      </c>
      <c r="L87" s="57"/>
      <c r="M87" s="350"/>
      <c r="N87" s="57" t="s">
        <v>507</v>
      </c>
      <c r="O87" s="57"/>
      <c r="P87" s="109"/>
      <c r="Q87" s="12"/>
      <c r="R87" s="57"/>
      <c r="S87" s="57"/>
      <c r="T87" s="12"/>
      <c r="U87" s="57"/>
      <c r="Y87" s="357"/>
      <c r="Z87" s="357"/>
      <c r="AA87" s="357"/>
    </row>
    <row r="88">
      <c r="A88" s="351">
        <f t="shared" si="1"/>
        <v>83</v>
      </c>
      <c r="B88" s="352" t="s">
        <v>737</v>
      </c>
      <c r="C88" s="57" t="s">
        <v>159</v>
      </c>
      <c r="D88" s="57" t="s">
        <v>497</v>
      </c>
      <c r="E88" s="57" t="s">
        <v>228</v>
      </c>
      <c r="F88" s="57" t="s">
        <v>498</v>
      </c>
      <c r="G88" s="57"/>
      <c r="H88" s="350"/>
      <c r="I88" s="57"/>
      <c r="J88" s="57"/>
      <c r="K88" s="57" t="s">
        <v>499</v>
      </c>
      <c r="L88" s="57"/>
      <c r="M88" s="350"/>
      <c r="N88" s="57" t="s">
        <v>507</v>
      </c>
      <c r="O88" s="57"/>
      <c r="P88" s="109"/>
      <c r="Q88" s="12"/>
      <c r="R88" s="57"/>
      <c r="S88" s="57"/>
      <c r="T88" s="12"/>
      <c r="U88" s="57"/>
      <c r="Y88" s="357"/>
      <c r="Z88" s="379"/>
      <c r="AA88" s="357"/>
    </row>
    <row r="89">
      <c r="A89" s="351">
        <f t="shared" si="1"/>
        <v>84</v>
      </c>
      <c r="B89" s="352" t="s">
        <v>738</v>
      </c>
      <c r="C89" s="57" t="s">
        <v>155</v>
      </c>
      <c r="D89" s="57" t="s">
        <v>497</v>
      </c>
      <c r="E89" s="57" t="s">
        <v>228</v>
      </c>
      <c r="F89" s="57" t="s">
        <v>498</v>
      </c>
      <c r="G89" s="57"/>
      <c r="H89" s="350"/>
      <c r="I89" s="57"/>
      <c r="J89" s="57"/>
      <c r="K89" s="57" t="s">
        <v>499</v>
      </c>
      <c r="L89" s="57"/>
      <c r="M89" s="350"/>
      <c r="N89" s="57" t="s">
        <v>507</v>
      </c>
      <c r="O89" s="57"/>
      <c r="P89" s="109"/>
      <c r="Q89" s="12"/>
      <c r="R89" s="57"/>
      <c r="S89" s="57"/>
      <c r="T89" s="12"/>
      <c r="U89" s="57"/>
      <c r="Y89" s="357"/>
      <c r="Z89" s="357"/>
      <c r="AA89" s="357"/>
    </row>
    <row r="90">
      <c r="A90" s="351">
        <f t="shared" si="1"/>
        <v>85</v>
      </c>
      <c r="B90" s="352" t="s">
        <v>739</v>
      </c>
      <c r="C90" s="57" t="s">
        <v>143</v>
      </c>
      <c r="D90" s="57" t="s">
        <v>497</v>
      </c>
      <c r="E90" s="57" t="s">
        <v>228</v>
      </c>
      <c r="F90" s="57" t="s">
        <v>498</v>
      </c>
      <c r="G90" s="57"/>
      <c r="H90" s="350"/>
      <c r="I90" s="57"/>
      <c r="J90" s="57"/>
      <c r="K90" s="57" t="s">
        <v>499</v>
      </c>
      <c r="L90" s="57"/>
      <c r="M90" s="350"/>
      <c r="N90" s="57" t="s">
        <v>507</v>
      </c>
      <c r="O90" s="57"/>
      <c r="P90" s="109"/>
      <c r="Q90" s="12"/>
      <c r="R90" s="57"/>
      <c r="S90" s="57"/>
      <c r="T90" s="12"/>
      <c r="U90" s="57"/>
      <c r="Y90" s="33"/>
      <c r="Z90" s="33"/>
      <c r="AA90" s="33"/>
    </row>
    <row r="91">
      <c r="A91" s="351">
        <f t="shared" si="1"/>
        <v>86</v>
      </c>
      <c r="B91" s="352" t="s">
        <v>740</v>
      </c>
      <c r="C91" s="57" t="s">
        <v>136</v>
      </c>
      <c r="D91" s="57" t="s">
        <v>497</v>
      </c>
      <c r="E91" s="57" t="s">
        <v>228</v>
      </c>
      <c r="F91" s="57" t="s">
        <v>498</v>
      </c>
      <c r="G91" s="57"/>
      <c r="H91" s="350"/>
      <c r="I91" s="57"/>
      <c r="J91" s="57"/>
      <c r="K91" s="57" t="s">
        <v>499</v>
      </c>
      <c r="L91" s="57"/>
      <c r="M91" s="350"/>
      <c r="N91" s="57" t="s">
        <v>507</v>
      </c>
      <c r="O91" s="57"/>
      <c r="P91" s="109"/>
      <c r="Q91" s="12"/>
      <c r="R91" s="57"/>
      <c r="S91" s="57"/>
      <c r="T91" s="12"/>
      <c r="U91" s="57"/>
      <c r="Y91" s="33"/>
      <c r="Z91" s="33"/>
      <c r="AA91" s="33"/>
    </row>
    <row r="92">
      <c r="A92" s="351">
        <f t="shared" si="1"/>
        <v>87</v>
      </c>
      <c r="B92" s="352" t="s">
        <v>740</v>
      </c>
      <c r="C92" s="57" t="s">
        <v>136</v>
      </c>
      <c r="D92" s="57" t="s">
        <v>503</v>
      </c>
      <c r="E92" s="57" t="s">
        <v>228</v>
      </c>
      <c r="F92" s="57" t="s">
        <v>498</v>
      </c>
      <c r="G92" s="57"/>
      <c r="H92" s="350"/>
      <c r="I92" s="57"/>
      <c r="J92" s="57"/>
      <c r="K92" s="57" t="s">
        <v>499</v>
      </c>
      <c r="L92" s="57"/>
      <c r="M92" s="350"/>
      <c r="N92" s="57" t="s">
        <v>507</v>
      </c>
      <c r="O92" s="57"/>
      <c r="P92" s="109"/>
      <c r="Q92" s="12"/>
      <c r="R92" s="57"/>
      <c r="S92" s="57"/>
      <c r="T92" s="12"/>
      <c r="U92" s="57"/>
      <c r="Y92" s="33"/>
      <c r="Z92" s="33"/>
      <c r="AA92" s="33"/>
    </row>
    <row r="93">
      <c r="A93" s="351">
        <f t="shared" si="1"/>
        <v>88</v>
      </c>
      <c r="B93" s="352" t="s">
        <v>741</v>
      </c>
      <c r="C93" s="57" t="s">
        <v>143</v>
      </c>
      <c r="D93" s="57" t="s">
        <v>503</v>
      </c>
      <c r="E93" s="57" t="s">
        <v>228</v>
      </c>
      <c r="F93" s="57" t="s">
        <v>498</v>
      </c>
      <c r="G93" s="57"/>
      <c r="H93" s="350"/>
      <c r="I93" s="57"/>
      <c r="J93" s="57"/>
      <c r="K93" s="57" t="s">
        <v>499</v>
      </c>
      <c r="L93" s="57"/>
      <c r="M93" s="350"/>
      <c r="N93" s="57" t="s">
        <v>507</v>
      </c>
      <c r="O93" s="57"/>
      <c r="P93" s="109"/>
      <c r="Q93" s="12"/>
      <c r="R93" s="57"/>
      <c r="S93" s="57"/>
      <c r="T93" s="12"/>
      <c r="U93" s="57"/>
      <c r="Y93" s="33"/>
      <c r="Z93" s="33"/>
      <c r="AA93" s="33"/>
    </row>
    <row r="94">
      <c r="A94" s="351">
        <f t="shared" si="1"/>
        <v>89</v>
      </c>
      <c r="B94" s="348" t="s">
        <v>741</v>
      </c>
      <c r="C94" s="57" t="s">
        <v>159</v>
      </c>
      <c r="D94" s="57" t="s">
        <v>521</v>
      </c>
      <c r="E94" s="57" t="s">
        <v>228</v>
      </c>
      <c r="F94" s="57" t="s">
        <v>498</v>
      </c>
      <c r="G94" s="57" t="s">
        <v>742</v>
      </c>
      <c r="H94" s="350" t="s">
        <v>743</v>
      </c>
      <c r="I94" s="57"/>
      <c r="J94" s="57"/>
      <c r="K94" s="57" t="s">
        <v>513</v>
      </c>
      <c r="L94" s="57"/>
      <c r="M94" s="350"/>
      <c r="N94" s="57" t="s">
        <v>507</v>
      </c>
      <c r="O94" s="57"/>
      <c r="P94" s="109"/>
      <c r="Q94" s="12"/>
      <c r="R94" s="57"/>
      <c r="S94" s="57"/>
      <c r="T94" s="12"/>
      <c r="U94" s="57"/>
    </row>
    <row r="95" ht="17.25" customHeight="1">
      <c r="A95" s="347">
        <v>1.0</v>
      </c>
      <c r="B95" s="380" t="s">
        <v>744</v>
      </c>
      <c r="C95" s="57" t="s">
        <v>132</v>
      </c>
      <c r="D95" s="57" t="s">
        <v>527</v>
      </c>
      <c r="E95" s="57" t="s">
        <v>228</v>
      </c>
      <c r="F95" s="57" t="s">
        <v>498</v>
      </c>
      <c r="G95" s="356" t="s">
        <v>745</v>
      </c>
      <c r="H95" s="356" t="s">
        <v>745</v>
      </c>
      <c r="I95" s="57"/>
      <c r="J95" s="57"/>
      <c r="K95" s="57" t="s">
        <v>499</v>
      </c>
      <c r="L95" s="350"/>
      <c r="M95" s="381"/>
      <c r="N95" s="57" t="s">
        <v>507</v>
      </c>
      <c r="O95" s="57"/>
      <c r="P95" s="109"/>
      <c r="Q95" s="109"/>
      <c r="R95" s="57"/>
      <c r="S95" s="57"/>
      <c r="T95" s="109"/>
      <c r="U95" s="57"/>
    </row>
    <row r="96" ht="17.25" customHeight="1">
      <c r="A96" s="355">
        <f t="shared" ref="A96:A231" si="2">A95+1</f>
        <v>2</v>
      </c>
      <c r="B96" s="382" t="s">
        <v>746</v>
      </c>
      <c r="C96" s="57" t="s">
        <v>104</v>
      </c>
      <c r="D96" s="57" t="s">
        <v>527</v>
      </c>
      <c r="E96" s="57" t="s">
        <v>228</v>
      </c>
      <c r="F96" s="57" t="s">
        <v>498</v>
      </c>
      <c r="G96" s="356" t="s">
        <v>747</v>
      </c>
      <c r="H96" s="356" t="s">
        <v>748</v>
      </c>
      <c r="I96" s="57"/>
      <c r="J96" s="57"/>
      <c r="K96" s="57" t="s">
        <v>499</v>
      </c>
      <c r="L96" s="356">
        <v>329306.0</v>
      </c>
      <c r="M96" s="383" t="s">
        <v>749</v>
      </c>
      <c r="N96" s="57" t="s">
        <v>507</v>
      </c>
      <c r="O96" s="57"/>
      <c r="P96" s="109"/>
      <c r="Q96" s="109"/>
      <c r="R96" s="57"/>
      <c r="S96" s="57"/>
      <c r="T96" s="109"/>
      <c r="U96" s="57"/>
    </row>
    <row r="97" ht="17.25" customHeight="1">
      <c r="A97" s="355">
        <f t="shared" si="2"/>
        <v>3</v>
      </c>
      <c r="B97" s="382" t="s">
        <v>746</v>
      </c>
      <c r="C97" s="57" t="s">
        <v>143</v>
      </c>
      <c r="D97" s="57" t="s">
        <v>503</v>
      </c>
      <c r="E97" s="57" t="s">
        <v>228</v>
      </c>
      <c r="F97" s="57" t="s">
        <v>498</v>
      </c>
      <c r="G97" s="356" t="s">
        <v>750</v>
      </c>
      <c r="H97" s="356" t="s">
        <v>751</v>
      </c>
      <c r="I97" s="57"/>
      <c r="J97" s="57"/>
      <c r="K97" s="57" t="s">
        <v>499</v>
      </c>
      <c r="L97" s="360">
        <v>633042.0</v>
      </c>
      <c r="M97" s="383" t="s">
        <v>335</v>
      </c>
      <c r="N97" s="57" t="s">
        <v>507</v>
      </c>
      <c r="O97" s="57"/>
      <c r="P97" s="109"/>
      <c r="Q97" s="109"/>
      <c r="R97" s="57"/>
      <c r="S97" s="57"/>
      <c r="T97" s="109"/>
      <c r="U97" s="57"/>
    </row>
    <row r="98" ht="17.25" customHeight="1">
      <c r="A98" s="355">
        <f t="shared" si="2"/>
        <v>4</v>
      </c>
      <c r="B98" s="382" t="s">
        <v>752</v>
      </c>
      <c r="C98" s="57" t="s">
        <v>168</v>
      </c>
      <c r="D98" s="57" t="s">
        <v>503</v>
      </c>
      <c r="E98" s="57" t="s">
        <v>228</v>
      </c>
      <c r="F98" s="57" t="s">
        <v>498</v>
      </c>
      <c r="G98" s="356" t="s">
        <v>753</v>
      </c>
      <c r="H98" s="356" t="s">
        <v>754</v>
      </c>
      <c r="I98" s="57"/>
      <c r="J98" s="57"/>
      <c r="K98" s="57" t="s">
        <v>499</v>
      </c>
      <c r="L98" s="356">
        <v>82184.0</v>
      </c>
      <c r="M98" s="383" t="s">
        <v>755</v>
      </c>
      <c r="N98" s="57" t="s">
        <v>507</v>
      </c>
      <c r="O98" s="57"/>
      <c r="P98" s="109"/>
      <c r="Q98" s="109"/>
      <c r="R98" s="57"/>
      <c r="S98" s="57"/>
      <c r="T98" s="109"/>
      <c r="U98" s="57"/>
    </row>
    <row r="99" ht="17.25" customHeight="1">
      <c r="A99" s="355">
        <f t="shared" si="2"/>
        <v>5</v>
      </c>
      <c r="B99" s="382" t="s">
        <v>752</v>
      </c>
      <c r="C99" s="57" t="s">
        <v>168</v>
      </c>
      <c r="D99" s="57" t="s">
        <v>503</v>
      </c>
      <c r="E99" s="57" t="s">
        <v>228</v>
      </c>
      <c r="F99" s="57" t="s">
        <v>498</v>
      </c>
      <c r="G99" s="356" t="s">
        <v>756</v>
      </c>
      <c r="H99" s="356" t="s">
        <v>757</v>
      </c>
      <c r="I99" s="57"/>
      <c r="J99" s="57"/>
      <c r="K99" s="57" t="s">
        <v>499</v>
      </c>
      <c r="L99" s="356">
        <v>82184.0</v>
      </c>
      <c r="M99" s="383" t="s">
        <v>755</v>
      </c>
      <c r="N99" s="57" t="s">
        <v>507</v>
      </c>
      <c r="O99" s="57"/>
      <c r="P99" s="109"/>
      <c r="Q99" s="109"/>
      <c r="R99" s="57"/>
      <c r="S99" s="57"/>
      <c r="T99" s="109"/>
      <c r="U99" s="57"/>
    </row>
    <row r="100" ht="17.25" customHeight="1">
      <c r="A100" s="355">
        <f t="shared" si="2"/>
        <v>6</v>
      </c>
      <c r="B100" s="382" t="s">
        <v>758</v>
      </c>
      <c r="C100" s="57" t="s">
        <v>160</v>
      </c>
      <c r="D100" s="57" t="s">
        <v>497</v>
      </c>
      <c r="E100" s="57" t="s">
        <v>228</v>
      </c>
      <c r="F100" s="57" t="s">
        <v>498</v>
      </c>
      <c r="G100" s="360">
        <v>7.0220581124E10</v>
      </c>
      <c r="H100" s="360">
        <v>7.033701124E9</v>
      </c>
      <c r="I100" s="57"/>
      <c r="J100" s="57"/>
      <c r="K100" s="57" t="s">
        <v>499</v>
      </c>
      <c r="L100" s="360">
        <v>688401.0</v>
      </c>
      <c r="M100" s="383" t="s">
        <v>759</v>
      </c>
      <c r="N100" s="57" t="s">
        <v>507</v>
      </c>
      <c r="O100" s="57"/>
      <c r="P100" s="109"/>
      <c r="Q100" s="109"/>
      <c r="R100" s="57"/>
      <c r="S100" s="57"/>
      <c r="T100" s="109"/>
      <c r="U100" s="57"/>
    </row>
    <row r="101" ht="17.25" customHeight="1">
      <c r="A101" s="355">
        <f t="shared" si="2"/>
        <v>7</v>
      </c>
      <c r="B101" s="382" t="s">
        <v>760</v>
      </c>
      <c r="C101" s="57" t="s">
        <v>143</v>
      </c>
      <c r="D101" s="57" t="s">
        <v>497</v>
      </c>
      <c r="E101" s="57" t="s">
        <v>228</v>
      </c>
      <c r="F101" s="57" t="s">
        <v>498</v>
      </c>
      <c r="G101" s="360">
        <v>7.0673900724E10</v>
      </c>
      <c r="H101" s="360">
        <v>7.0578191124E10</v>
      </c>
      <c r="I101" s="57"/>
      <c r="J101" s="57"/>
      <c r="K101" s="57" t="s">
        <v>499</v>
      </c>
      <c r="L101" s="360">
        <v>636823.0</v>
      </c>
      <c r="M101" s="383" t="s">
        <v>761</v>
      </c>
      <c r="N101" s="57" t="s">
        <v>507</v>
      </c>
      <c r="O101" s="57"/>
      <c r="P101" s="109"/>
      <c r="Q101" s="109"/>
      <c r="R101" s="57"/>
      <c r="S101" s="57"/>
      <c r="T101" s="109"/>
      <c r="U101" s="57"/>
    </row>
    <row r="102" ht="17.25" customHeight="1">
      <c r="A102" s="355">
        <f t="shared" si="2"/>
        <v>8</v>
      </c>
      <c r="B102" s="382" t="s">
        <v>762</v>
      </c>
      <c r="C102" s="57" t="s">
        <v>147</v>
      </c>
      <c r="D102" s="57" t="s">
        <v>497</v>
      </c>
      <c r="E102" s="57" t="s">
        <v>228</v>
      </c>
      <c r="F102" s="57" t="s">
        <v>498</v>
      </c>
      <c r="G102" s="356" t="s">
        <v>763</v>
      </c>
      <c r="H102" s="356" t="s">
        <v>764</v>
      </c>
      <c r="I102" s="57"/>
      <c r="J102" s="57"/>
      <c r="K102" s="57" t="s">
        <v>499</v>
      </c>
      <c r="L102" s="356">
        <v>706932.0</v>
      </c>
      <c r="M102" s="383" t="s">
        <v>359</v>
      </c>
      <c r="N102" s="57" t="s">
        <v>507</v>
      </c>
      <c r="O102" s="57"/>
      <c r="P102" s="109"/>
      <c r="Q102" s="109"/>
      <c r="R102" s="57"/>
      <c r="S102" s="57"/>
      <c r="T102" s="109"/>
      <c r="U102" s="57"/>
    </row>
    <row r="103" ht="17.25" customHeight="1">
      <c r="A103" s="355">
        <f t="shared" si="2"/>
        <v>9</v>
      </c>
      <c r="B103" s="382" t="s">
        <v>762</v>
      </c>
      <c r="C103" s="57" t="s">
        <v>147</v>
      </c>
      <c r="D103" s="57" t="s">
        <v>497</v>
      </c>
      <c r="E103" s="57" t="s">
        <v>228</v>
      </c>
      <c r="F103" s="57" t="s">
        <v>498</v>
      </c>
      <c r="G103" s="356" t="s">
        <v>765</v>
      </c>
      <c r="H103" s="356" t="s">
        <v>766</v>
      </c>
      <c r="I103" s="57"/>
      <c r="J103" s="57"/>
      <c r="K103" s="57" t="s">
        <v>499</v>
      </c>
      <c r="L103" s="356">
        <v>706932.0</v>
      </c>
      <c r="M103" s="383" t="s">
        <v>359</v>
      </c>
      <c r="N103" s="57" t="s">
        <v>507</v>
      </c>
      <c r="O103" s="57"/>
      <c r="P103" s="109"/>
      <c r="Q103" s="109"/>
      <c r="R103" s="57"/>
      <c r="S103" s="57"/>
      <c r="T103" s="109"/>
      <c r="U103" s="57"/>
    </row>
    <row r="104" ht="17.25" customHeight="1">
      <c r="A104" s="355">
        <f t="shared" si="2"/>
        <v>10</v>
      </c>
      <c r="B104" s="382" t="s">
        <v>762</v>
      </c>
      <c r="C104" s="57" t="s">
        <v>155</v>
      </c>
      <c r="D104" s="57" t="s">
        <v>503</v>
      </c>
      <c r="E104" s="57" t="s">
        <v>228</v>
      </c>
      <c r="F104" s="57" t="s">
        <v>498</v>
      </c>
      <c r="G104" s="360">
        <v>7.0377910824E10</v>
      </c>
      <c r="H104" s="360">
        <v>7.0190530924E10</v>
      </c>
      <c r="I104" s="57"/>
      <c r="J104" s="57"/>
      <c r="K104" s="57" t="s">
        <v>499</v>
      </c>
      <c r="L104" s="360">
        <v>503170.0</v>
      </c>
      <c r="M104" s="383" t="s">
        <v>767</v>
      </c>
      <c r="N104" s="57" t="s">
        <v>507</v>
      </c>
      <c r="O104" s="57"/>
      <c r="P104" s="109"/>
      <c r="Q104" s="109"/>
      <c r="R104" s="57"/>
      <c r="S104" s="57"/>
      <c r="T104" s="109"/>
      <c r="U104" s="57"/>
    </row>
    <row r="105" ht="17.25" customHeight="1">
      <c r="A105" s="355">
        <f t="shared" si="2"/>
        <v>11</v>
      </c>
      <c r="B105" s="382" t="s">
        <v>768</v>
      </c>
      <c r="C105" s="57" t="s">
        <v>120</v>
      </c>
      <c r="D105" s="57" t="s">
        <v>503</v>
      </c>
      <c r="E105" s="57" t="s">
        <v>228</v>
      </c>
      <c r="F105" s="57" t="s">
        <v>498</v>
      </c>
      <c r="G105" s="356" t="s">
        <v>769</v>
      </c>
      <c r="H105" s="356" t="s">
        <v>770</v>
      </c>
      <c r="I105" s="57"/>
      <c r="J105" s="57"/>
      <c r="K105" s="57" t="s">
        <v>499</v>
      </c>
      <c r="L105" s="356">
        <v>588298.0</v>
      </c>
      <c r="M105" s="383" t="s">
        <v>365</v>
      </c>
      <c r="N105" s="57" t="s">
        <v>507</v>
      </c>
      <c r="O105" s="57"/>
      <c r="P105" s="109"/>
      <c r="Q105" s="109"/>
      <c r="R105" s="57"/>
      <c r="S105" s="57"/>
      <c r="T105" s="109"/>
      <c r="U105" s="57"/>
    </row>
    <row r="106" ht="17.25" customHeight="1">
      <c r="A106" s="355">
        <f t="shared" si="2"/>
        <v>12</v>
      </c>
      <c r="B106" s="382" t="s">
        <v>768</v>
      </c>
      <c r="C106" s="57" t="s">
        <v>121</v>
      </c>
      <c r="D106" s="57" t="s">
        <v>497</v>
      </c>
      <c r="E106" s="57" t="s">
        <v>228</v>
      </c>
      <c r="F106" s="57" t="s">
        <v>498</v>
      </c>
      <c r="G106" s="360">
        <v>7.0449091624E10</v>
      </c>
      <c r="H106" s="360">
        <v>7.0269971624E10</v>
      </c>
      <c r="I106" s="57"/>
      <c r="J106" s="57"/>
      <c r="K106" s="57" t="s">
        <v>499</v>
      </c>
      <c r="L106" s="360">
        <v>530040.0</v>
      </c>
      <c r="M106" s="383" t="s">
        <v>413</v>
      </c>
      <c r="N106" s="57" t="s">
        <v>507</v>
      </c>
      <c r="O106" s="57"/>
      <c r="P106" s="109"/>
      <c r="Q106" s="109"/>
      <c r="R106" s="57"/>
      <c r="S106" s="57"/>
      <c r="T106" s="109"/>
      <c r="U106" s="57"/>
    </row>
    <row r="107" ht="17.25" customHeight="1">
      <c r="A107" s="355">
        <f t="shared" si="2"/>
        <v>13</v>
      </c>
      <c r="B107" s="384">
        <v>45412.0</v>
      </c>
      <c r="C107" s="57" t="s">
        <v>120</v>
      </c>
      <c r="D107" s="57" t="s">
        <v>503</v>
      </c>
      <c r="E107" s="57" t="s">
        <v>228</v>
      </c>
      <c r="F107" s="57" t="s">
        <v>498</v>
      </c>
      <c r="G107" s="356" t="s">
        <v>771</v>
      </c>
      <c r="H107" s="356" t="s">
        <v>772</v>
      </c>
      <c r="I107" s="57"/>
      <c r="J107" s="57"/>
      <c r="K107" s="57" t="s">
        <v>499</v>
      </c>
      <c r="L107" s="356">
        <v>588298.0</v>
      </c>
      <c r="M107" s="383" t="s">
        <v>365</v>
      </c>
      <c r="N107" s="57" t="s">
        <v>5</v>
      </c>
      <c r="O107" s="57"/>
      <c r="P107" s="109"/>
      <c r="Q107" s="109"/>
      <c r="R107" s="57"/>
      <c r="S107" s="57"/>
      <c r="T107" s="109"/>
      <c r="U107" s="57"/>
    </row>
    <row r="108" ht="17.25" customHeight="1">
      <c r="A108" s="355">
        <f t="shared" si="2"/>
        <v>14</v>
      </c>
      <c r="B108" s="382" t="s">
        <v>773</v>
      </c>
      <c r="C108" s="57" t="s">
        <v>120</v>
      </c>
      <c r="D108" s="57" t="s">
        <v>503</v>
      </c>
      <c r="E108" s="57" t="s">
        <v>228</v>
      </c>
      <c r="F108" s="57" t="s">
        <v>498</v>
      </c>
      <c r="G108" s="385">
        <v>7.0609511724E10</v>
      </c>
      <c r="H108" s="350">
        <v>7.0541030924E10</v>
      </c>
      <c r="I108" s="57"/>
      <c r="J108" s="57"/>
      <c r="K108" s="57" t="s">
        <v>499</v>
      </c>
      <c r="L108" s="350"/>
      <c r="M108" s="381"/>
      <c r="N108" s="57" t="s">
        <v>507</v>
      </c>
      <c r="O108" s="57"/>
      <c r="P108" s="109"/>
      <c r="Q108" s="109"/>
      <c r="R108" s="57"/>
      <c r="S108" s="57"/>
      <c r="T108" s="109"/>
      <c r="U108" s="57"/>
    </row>
    <row r="109" ht="17.25" customHeight="1">
      <c r="A109" s="355">
        <f t="shared" si="2"/>
        <v>15</v>
      </c>
      <c r="B109" s="382" t="s">
        <v>773</v>
      </c>
      <c r="C109" s="57" t="s">
        <v>132</v>
      </c>
      <c r="D109" s="57" t="s">
        <v>497</v>
      </c>
      <c r="E109" s="57" t="s">
        <v>228</v>
      </c>
      <c r="F109" s="57" t="s">
        <v>498</v>
      </c>
      <c r="G109" s="385">
        <v>7.0635961724E10</v>
      </c>
      <c r="H109" s="350">
        <v>7.0053930924E10</v>
      </c>
      <c r="I109" s="57"/>
      <c r="J109" s="57"/>
      <c r="K109" s="57" t="s">
        <v>499</v>
      </c>
      <c r="L109" s="350"/>
      <c r="M109" s="381"/>
      <c r="N109" s="57" t="s">
        <v>507</v>
      </c>
      <c r="O109" s="57"/>
      <c r="P109" s="109"/>
      <c r="Q109" s="109"/>
      <c r="R109" s="57"/>
      <c r="S109" s="57"/>
      <c r="T109" s="109"/>
      <c r="U109" s="57"/>
    </row>
    <row r="110" ht="17.25" customHeight="1">
      <c r="A110" s="355">
        <f t="shared" si="2"/>
        <v>16</v>
      </c>
      <c r="B110" s="382" t="s">
        <v>773</v>
      </c>
      <c r="C110" s="57" t="s">
        <v>208</v>
      </c>
      <c r="D110" s="57" t="s">
        <v>497</v>
      </c>
      <c r="E110" s="57" t="s">
        <v>228</v>
      </c>
      <c r="F110" s="57" t="s">
        <v>498</v>
      </c>
      <c r="G110" s="385">
        <v>7.0609511724E10</v>
      </c>
      <c r="H110" s="350">
        <v>7.0541030924E10</v>
      </c>
      <c r="I110" s="57"/>
      <c r="J110" s="57"/>
      <c r="K110" s="57" t="s">
        <v>499</v>
      </c>
      <c r="L110" s="350"/>
      <c r="M110" s="381"/>
      <c r="N110" s="57" t="s">
        <v>507</v>
      </c>
      <c r="O110" s="57"/>
      <c r="P110" s="109"/>
      <c r="Q110" s="109"/>
      <c r="R110" s="57"/>
      <c r="S110" s="57"/>
      <c r="T110" s="109"/>
      <c r="U110" s="57"/>
    </row>
    <row r="111" ht="17.25" customHeight="1">
      <c r="A111" s="355">
        <f t="shared" si="2"/>
        <v>17</v>
      </c>
      <c r="B111" s="382" t="s">
        <v>773</v>
      </c>
      <c r="C111" s="57" t="s">
        <v>93</v>
      </c>
      <c r="D111" s="57" t="s">
        <v>497</v>
      </c>
      <c r="E111" s="57" t="s">
        <v>228</v>
      </c>
      <c r="F111" s="57" t="s">
        <v>498</v>
      </c>
      <c r="G111" s="386"/>
      <c r="H111" s="350"/>
      <c r="I111" s="57"/>
      <c r="J111" s="57"/>
      <c r="K111" s="57" t="s">
        <v>499</v>
      </c>
      <c r="L111" s="350"/>
      <c r="M111" s="381"/>
      <c r="N111" s="57" t="s">
        <v>507</v>
      </c>
      <c r="O111" s="57"/>
      <c r="P111" s="109"/>
      <c r="Q111" s="109"/>
      <c r="R111" s="57"/>
      <c r="S111" s="57"/>
      <c r="T111" s="109"/>
      <c r="U111" s="57"/>
    </row>
    <row r="112" ht="17.25" customHeight="1">
      <c r="A112" s="355">
        <f t="shared" si="2"/>
        <v>18</v>
      </c>
      <c r="B112" s="382" t="s">
        <v>774</v>
      </c>
      <c r="C112" s="57" t="s">
        <v>159</v>
      </c>
      <c r="D112" s="57" t="s">
        <v>503</v>
      </c>
      <c r="E112" s="57" t="s">
        <v>228</v>
      </c>
      <c r="F112" s="57" t="s">
        <v>498</v>
      </c>
      <c r="G112" s="385">
        <v>7.0467561724E10</v>
      </c>
      <c r="H112" s="350">
        <v>7.0220581724E10</v>
      </c>
      <c r="I112" s="57"/>
      <c r="J112" s="57"/>
      <c r="K112" s="57" t="s">
        <v>499</v>
      </c>
      <c r="L112" s="350"/>
      <c r="M112" s="381"/>
      <c r="N112" s="57" t="s">
        <v>507</v>
      </c>
      <c r="O112" s="57"/>
      <c r="P112" s="109"/>
      <c r="Q112" s="109"/>
      <c r="R112" s="57"/>
      <c r="S112" s="57"/>
      <c r="T112" s="109"/>
      <c r="U112" s="57"/>
    </row>
    <row r="113" ht="17.25" customHeight="1">
      <c r="A113" s="355">
        <f t="shared" si="2"/>
        <v>19</v>
      </c>
      <c r="B113" s="382" t="s">
        <v>774</v>
      </c>
      <c r="C113" s="57" t="s">
        <v>159</v>
      </c>
      <c r="D113" s="57" t="s">
        <v>503</v>
      </c>
      <c r="E113" s="57" t="s">
        <v>228</v>
      </c>
      <c r="F113" s="57" t="s">
        <v>498</v>
      </c>
      <c r="G113" s="385">
        <v>7.0551221724E10</v>
      </c>
      <c r="H113" s="350">
        <v>7.054385124E9</v>
      </c>
      <c r="I113" s="57"/>
      <c r="J113" s="57"/>
      <c r="K113" s="57" t="s">
        <v>499</v>
      </c>
      <c r="L113" s="350"/>
      <c r="M113" s="381"/>
      <c r="N113" s="57" t="s">
        <v>507</v>
      </c>
      <c r="O113" s="57"/>
      <c r="P113" s="109"/>
      <c r="Q113" s="109"/>
      <c r="R113" s="57"/>
      <c r="S113" s="57"/>
      <c r="T113" s="109"/>
      <c r="U113" s="57"/>
    </row>
    <row r="114" ht="17.25" customHeight="1">
      <c r="A114" s="355">
        <f t="shared" si="2"/>
        <v>20</v>
      </c>
      <c r="B114" s="387">
        <v>45445.0</v>
      </c>
      <c r="C114" s="57" t="s">
        <v>160</v>
      </c>
      <c r="D114" s="57" t="s">
        <v>497</v>
      </c>
      <c r="E114" s="57" t="s">
        <v>228</v>
      </c>
      <c r="F114" s="57" t="s">
        <v>498</v>
      </c>
      <c r="G114" s="385">
        <v>7.0819752024E10</v>
      </c>
      <c r="H114" s="350">
        <v>7.0797972024E10</v>
      </c>
      <c r="I114" s="57"/>
      <c r="J114" s="57"/>
      <c r="K114" s="57" t="s">
        <v>499</v>
      </c>
      <c r="L114" s="350"/>
      <c r="M114" s="381"/>
      <c r="N114" s="57" t="s">
        <v>507</v>
      </c>
      <c r="O114" s="57"/>
      <c r="P114" s="109"/>
      <c r="Q114" s="109"/>
      <c r="R114" s="57"/>
      <c r="S114" s="57"/>
      <c r="T114" s="109"/>
      <c r="U114" s="57"/>
    </row>
    <row r="115" ht="17.25" customHeight="1">
      <c r="A115" s="355">
        <f t="shared" si="2"/>
        <v>21</v>
      </c>
      <c r="B115" s="382" t="s">
        <v>775</v>
      </c>
      <c r="C115" s="57" t="s">
        <v>121</v>
      </c>
      <c r="D115" s="57" t="s">
        <v>497</v>
      </c>
      <c r="E115" s="57" t="s">
        <v>228</v>
      </c>
      <c r="F115" s="57" t="s">
        <v>505</v>
      </c>
      <c r="G115" s="385">
        <v>7.0269271624E10</v>
      </c>
      <c r="H115" s="350"/>
      <c r="I115" s="57" t="s">
        <v>543</v>
      </c>
      <c r="J115" s="57"/>
      <c r="K115" s="57" t="s">
        <v>499</v>
      </c>
      <c r="L115" s="350">
        <v>530040.0</v>
      </c>
      <c r="M115" s="381"/>
      <c r="N115" s="57" t="s">
        <v>507</v>
      </c>
      <c r="O115" s="57"/>
      <c r="P115" s="109"/>
      <c r="Q115" s="109"/>
      <c r="R115" s="57"/>
      <c r="S115" s="57"/>
      <c r="T115" s="109"/>
      <c r="U115" s="57"/>
    </row>
    <row r="116" ht="17.25" customHeight="1">
      <c r="A116" s="355">
        <f t="shared" si="2"/>
        <v>22</v>
      </c>
      <c r="B116" s="387">
        <v>45446.0</v>
      </c>
      <c r="C116" s="57" t="s">
        <v>121</v>
      </c>
      <c r="D116" s="57" t="s">
        <v>503</v>
      </c>
      <c r="E116" s="57" t="s">
        <v>228</v>
      </c>
      <c r="F116" s="57" t="s">
        <v>498</v>
      </c>
      <c r="G116" s="385">
        <v>7.0168192024E10</v>
      </c>
      <c r="H116" s="350">
        <v>7.009172024E9</v>
      </c>
      <c r="I116" s="57"/>
      <c r="J116" s="57"/>
      <c r="K116" s="57" t="s">
        <v>499</v>
      </c>
      <c r="L116" s="350"/>
      <c r="M116" s="381"/>
      <c r="N116" s="57" t="s">
        <v>507</v>
      </c>
      <c r="O116" s="57"/>
      <c r="P116" s="109"/>
      <c r="Q116" s="109"/>
      <c r="R116" s="57"/>
      <c r="S116" s="57"/>
      <c r="T116" s="109"/>
      <c r="U116" s="57"/>
    </row>
    <row r="117" ht="17.25" customHeight="1">
      <c r="A117" s="355">
        <f t="shared" si="2"/>
        <v>23</v>
      </c>
      <c r="B117" s="382" t="s">
        <v>775</v>
      </c>
      <c r="C117" s="57" t="s">
        <v>121</v>
      </c>
      <c r="D117" s="57" t="s">
        <v>503</v>
      </c>
      <c r="E117" s="57" t="s">
        <v>228</v>
      </c>
      <c r="F117" s="57" t="s">
        <v>498</v>
      </c>
      <c r="G117" s="385">
        <v>7.0092902024E10</v>
      </c>
      <c r="H117" s="350">
        <v>7.009192024E9</v>
      </c>
      <c r="I117" s="57"/>
      <c r="J117" s="57" t="s">
        <v>541</v>
      </c>
      <c r="K117" s="57" t="s">
        <v>499</v>
      </c>
      <c r="L117" s="350">
        <v>540545.0</v>
      </c>
      <c r="M117" s="381"/>
      <c r="N117" s="57" t="s">
        <v>507</v>
      </c>
      <c r="O117" s="57"/>
      <c r="P117" s="109"/>
      <c r="Q117" s="109"/>
      <c r="R117" s="57"/>
      <c r="S117" s="57"/>
      <c r="T117" s="109"/>
      <c r="U117" s="57"/>
    </row>
    <row r="118" ht="17.25" customHeight="1">
      <c r="A118" s="355">
        <f t="shared" si="2"/>
        <v>24</v>
      </c>
      <c r="B118" s="382" t="s">
        <v>776</v>
      </c>
      <c r="C118" s="57" t="s">
        <v>93</v>
      </c>
      <c r="D118" s="57" t="s">
        <v>503</v>
      </c>
      <c r="E118" s="57" t="s">
        <v>228</v>
      </c>
      <c r="F118" s="57" t="s">
        <v>498</v>
      </c>
      <c r="G118" s="385">
        <v>7.0165702024E10</v>
      </c>
      <c r="H118" s="350">
        <v>7.0107382024E10</v>
      </c>
      <c r="I118" s="57"/>
      <c r="J118" s="57"/>
      <c r="K118" s="57" t="s">
        <v>499</v>
      </c>
      <c r="L118" s="350"/>
      <c r="M118" s="381"/>
      <c r="N118" s="57" t="s">
        <v>507</v>
      </c>
      <c r="O118" s="57"/>
      <c r="P118" s="109"/>
      <c r="Q118" s="109"/>
      <c r="R118" s="57"/>
      <c r="S118" s="57"/>
      <c r="T118" s="109"/>
      <c r="U118" s="57"/>
    </row>
    <row r="119">
      <c r="A119" s="355">
        <f t="shared" si="2"/>
        <v>25</v>
      </c>
      <c r="B119" s="348" t="s">
        <v>777</v>
      </c>
      <c r="C119" s="88" t="s">
        <v>57</v>
      </c>
      <c r="D119" s="62"/>
      <c r="E119" s="62"/>
      <c r="F119" s="62"/>
      <c r="G119" s="355"/>
      <c r="H119" s="388"/>
      <c r="I119" s="105"/>
      <c r="J119" s="105"/>
      <c r="K119" s="62" t="s">
        <v>513</v>
      </c>
      <c r="L119" s="107"/>
      <c r="M119" s="88"/>
      <c r="N119" s="62" t="s">
        <v>507</v>
      </c>
      <c r="O119" s="105"/>
      <c r="P119" s="105"/>
      <c r="Q119" s="136"/>
      <c r="R119" s="105"/>
      <c r="S119" s="105"/>
      <c r="T119" s="136"/>
      <c r="U119" s="105"/>
    </row>
    <row r="120">
      <c r="A120" s="355">
        <f t="shared" si="2"/>
        <v>26</v>
      </c>
      <c r="B120" s="348" t="s">
        <v>777</v>
      </c>
      <c r="C120" s="88" t="s">
        <v>147</v>
      </c>
      <c r="D120" s="62"/>
      <c r="E120" s="62"/>
      <c r="F120" s="62"/>
      <c r="G120" s="355"/>
      <c r="H120" s="388"/>
      <c r="I120" s="105"/>
      <c r="J120" s="105"/>
      <c r="K120" s="62" t="s">
        <v>513</v>
      </c>
      <c r="L120" s="107"/>
      <c r="M120" s="88"/>
      <c r="N120" s="62" t="s">
        <v>507</v>
      </c>
      <c r="O120" s="105"/>
      <c r="P120" s="105"/>
      <c r="Q120" s="136"/>
      <c r="R120" s="105"/>
      <c r="S120" s="105"/>
      <c r="T120" s="136"/>
      <c r="U120" s="105"/>
    </row>
    <row r="121">
      <c r="A121" s="355">
        <f t="shared" si="2"/>
        <v>27</v>
      </c>
      <c r="B121" s="348" t="s">
        <v>778</v>
      </c>
      <c r="C121" s="88" t="s">
        <v>147</v>
      </c>
      <c r="D121" s="62" t="s">
        <v>521</v>
      </c>
      <c r="E121" s="62" t="s">
        <v>228</v>
      </c>
      <c r="F121" s="62" t="s">
        <v>498</v>
      </c>
      <c r="G121" s="349" t="s">
        <v>779</v>
      </c>
      <c r="H121" s="88" t="s">
        <v>780</v>
      </c>
      <c r="I121" s="105"/>
      <c r="J121" s="105"/>
      <c r="K121" s="62" t="s">
        <v>513</v>
      </c>
      <c r="L121" s="107"/>
      <c r="M121" s="88"/>
      <c r="N121" s="62" t="s">
        <v>507</v>
      </c>
      <c r="O121" s="105"/>
      <c r="P121" s="105"/>
      <c r="Q121" s="136"/>
      <c r="R121" s="105"/>
      <c r="S121" s="105"/>
      <c r="T121" s="136"/>
      <c r="U121" s="105"/>
    </row>
    <row r="122">
      <c r="A122" s="355">
        <f t="shared" si="2"/>
        <v>28</v>
      </c>
      <c r="B122" s="348" t="s">
        <v>781</v>
      </c>
      <c r="C122" s="88" t="s">
        <v>104</v>
      </c>
      <c r="D122" s="62" t="s">
        <v>521</v>
      </c>
      <c r="E122" s="62" t="s">
        <v>228</v>
      </c>
      <c r="F122" s="62" t="s">
        <v>498</v>
      </c>
      <c r="G122" s="349" t="s">
        <v>782</v>
      </c>
      <c r="H122" s="88" t="s">
        <v>783</v>
      </c>
      <c r="I122" s="105"/>
      <c r="J122" s="105"/>
      <c r="K122" s="62" t="s">
        <v>513</v>
      </c>
      <c r="L122" s="107"/>
      <c r="M122" s="88"/>
      <c r="N122" s="62" t="s">
        <v>507</v>
      </c>
      <c r="O122" s="105"/>
      <c r="P122" s="105"/>
      <c r="Q122" s="136"/>
      <c r="R122" s="105"/>
      <c r="S122" s="105"/>
      <c r="T122" s="136"/>
      <c r="U122" s="105"/>
    </row>
    <row r="123" ht="17.25" customHeight="1">
      <c r="A123" s="355">
        <f t="shared" si="2"/>
        <v>29</v>
      </c>
      <c r="B123" s="389" t="s">
        <v>784</v>
      </c>
      <c r="C123" s="57" t="s">
        <v>155</v>
      </c>
      <c r="D123" s="57" t="s">
        <v>503</v>
      </c>
      <c r="E123" s="57" t="s">
        <v>228</v>
      </c>
      <c r="F123" s="57" t="s">
        <v>498</v>
      </c>
      <c r="G123" s="386"/>
      <c r="H123" s="350"/>
      <c r="I123" s="57"/>
      <c r="J123" s="57"/>
      <c r="K123" s="57" t="s">
        <v>499</v>
      </c>
      <c r="L123" s="350"/>
      <c r="M123" s="381"/>
      <c r="N123" s="57" t="s">
        <v>507</v>
      </c>
      <c r="O123" s="57"/>
      <c r="P123" s="109"/>
      <c r="Q123" s="109"/>
      <c r="R123" s="57"/>
      <c r="S123" s="57"/>
      <c r="T123" s="109"/>
      <c r="U123" s="57"/>
    </row>
    <row r="124">
      <c r="A124" s="355">
        <f t="shared" si="2"/>
        <v>30</v>
      </c>
      <c r="B124" s="389" t="s">
        <v>784</v>
      </c>
      <c r="C124" s="57" t="s">
        <v>57</v>
      </c>
      <c r="D124" s="57" t="s">
        <v>530</v>
      </c>
      <c r="E124" s="57" t="s">
        <v>228</v>
      </c>
      <c r="F124" s="57" t="s">
        <v>498</v>
      </c>
      <c r="G124" s="385" t="s">
        <v>785</v>
      </c>
      <c r="H124" s="350" t="s">
        <v>786</v>
      </c>
      <c r="I124" s="57"/>
      <c r="J124" s="57"/>
      <c r="K124" s="57" t="s">
        <v>525</v>
      </c>
      <c r="L124" s="350"/>
      <c r="M124" s="381"/>
      <c r="N124" s="57" t="s">
        <v>507</v>
      </c>
      <c r="O124" s="57"/>
      <c r="P124" s="109"/>
      <c r="Q124" s="109"/>
      <c r="R124" s="57"/>
      <c r="S124" s="57"/>
      <c r="T124" s="109"/>
      <c r="U124" s="57"/>
    </row>
    <row r="125">
      <c r="A125" s="355">
        <f t="shared" si="2"/>
        <v>31</v>
      </c>
      <c r="B125" s="348" t="s">
        <v>787</v>
      </c>
      <c r="C125" s="88" t="s">
        <v>104</v>
      </c>
      <c r="D125" s="62" t="s">
        <v>521</v>
      </c>
      <c r="E125" s="62" t="s">
        <v>228</v>
      </c>
      <c r="F125" s="62" t="s">
        <v>498</v>
      </c>
      <c r="G125" s="349" t="s">
        <v>788</v>
      </c>
      <c r="H125" s="88" t="s">
        <v>789</v>
      </c>
      <c r="I125" s="105"/>
      <c r="J125" s="105"/>
      <c r="K125" s="62" t="s">
        <v>513</v>
      </c>
      <c r="L125" s="107"/>
      <c r="M125" s="88"/>
      <c r="N125" s="62" t="s">
        <v>507</v>
      </c>
      <c r="O125" s="105"/>
      <c r="P125" s="105"/>
      <c r="Q125" s="136"/>
      <c r="R125" s="105"/>
      <c r="S125" s="105"/>
      <c r="T125" s="136"/>
      <c r="U125" s="105"/>
    </row>
    <row r="126">
      <c r="A126" s="355">
        <f t="shared" si="2"/>
        <v>32</v>
      </c>
      <c r="B126" s="390" t="s">
        <v>790</v>
      </c>
      <c r="C126" s="57" t="s">
        <v>104</v>
      </c>
      <c r="D126" s="57" t="s">
        <v>521</v>
      </c>
      <c r="E126" s="57" t="s">
        <v>228</v>
      </c>
      <c r="F126" s="57" t="s">
        <v>505</v>
      </c>
      <c r="G126" s="385" t="s">
        <v>791</v>
      </c>
      <c r="H126" s="350"/>
      <c r="I126" s="57" t="s">
        <v>539</v>
      </c>
      <c r="J126" s="57"/>
      <c r="K126" s="57"/>
      <c r="L126" s="350">
        <v>357934.0</v>
      </c>
      <c r="M126" s="381"/>
      <c r="N126" s="57" t="s">
        <v>507</v>
      </c>
      <c r="O126" s="57"/>
      <c r="P126" s="109"/>
      <c r="Q126" s="109"/>
      <c r="R126" s="57"/>
      <c r="S126" s="57"/>
      <c r="T126" s="109"/>
      <c r="U126" s="57"/>
    </row>
    <row r="127" ht="17.25" customHeight="1">
      <c r="A127" s="355">
        <f t="shared" si="2"/>
        <v>33</v>
      </c>
      <c r="B127" s="382" t="s">
        <v>792</v>
      </c>
      <c r="C127" s="57" t="s">
        <v>143</v>
      </c>
      <c r="D127" s="57" t="s">
        <v>503</v>
      </c>
      <c r="E127" s="57" t="s">
        <v>228</v>
      </c>
      <c r="F127" s="57" t="s">
        <v>498</v>
      </c>
      <c r="G127" s="385">
        <v>7.0540292424E10</v>
      </c>
      <c r="H127" s="350">
        <v>7.0648912524E10</v>
      </c>
      <c r="I127" s="57"/>
      <c r="J127" s="57"/>
      <c r="K127" s="57" t="s">
        <v>499</v>
      </c>
      <c r="L127" s="350"/>
      <c r="M127" s="381"/>
      <c r="N127" s="57" t="s">
        <v>507</v>
      </c>
      <c r="O127" s="57"/>
      <c r="P127" s="109"/>
      <c r="Q127" s="109"/>
      <c r="R127" s="57"/>
      <c r="S127" s="57"/>
      <c r="T127" s="109"/>
      <c r="U127" s="57"/>
    </row>
    <row r="128" ht="17.25" customHeight="1">
      <c r="A128" s="355">
        <f t="shared" si="2"/>
        <v>34</v>
      </c>
      <c r="B128" s="382" t="s">
        <v>792</v>
      </c>
      <c r="C128" s="57" t="s">
        <v>160</v>
      </c>
      <c r="D128" s="57" t="s">
        <v>503</v>
      </c>
      <c r="E128" s="57" t="s">
        <v>228</v>
      </c>
      <c r="F128" s="57" t="s">
        <v>498</v>
      </c>
      <c r="G128" s="385">
        <v>7.0854962524E10</v>
      </c>
      <c r="H128" s="350">
        <v>7.0646592524E10</v>
      </c>
      <c r="I128" s="57"/>
      <c r="J128" s="57"/>
      <c r="K128" s="57" t="s">
        <v>499</v>
      </c>
      <c r="L128" s="350"/>
      <c r="M128" s="381"/>
      <c r="N128" s="57" t="s">
        <v>507</v>
      </c>
      <c r="O128" s="57"/>
      <c r="P128" s="109"/>
      <c r="Q128" s="109"/>
      <c r="R128" s="57"/>
      <c r="S128" s="57"/>
      <c r="T128" s="109"/>
      <c r="U128" s="57"/>
    </row>
    <row r="129">
      <c r="A129" s="355">
        <f t="shared" si="2"/>
        <v>35</v>
      </c>
      <c r="B129" s="387">
        <v>45483.0</v>
      </c>
      <c r="C129" s="57" t="s">
        <v>136</v>
      </c>
      <c r="D129" s="57" t="s">
        <v>503</v>
      </c>
      <c r="E129" s="57" t="s">
        <v>228</v>
      </c>
      <c r="F129" s="57" t="s">
        <v>498</v>
      </c>
      <c r="G129" s="385">
        <v>7.0437482724E10</v>
      </c>
      <c r="H129" s="350">
        <v>7.0621222524E10</v>
      </c>
      <c r="I129" s="57"/>
      <c r="J129" s="57"/>
      <c r="K129" s="57" t="s">
        <v>499</v>
      </c>
      <c r="L129" s="350"/>
      <c r="M129" s="381"/>
      <c r="N129" s="57" t="s">
        <v>507</v>
      </c>
      <c r="O129" s="57"/>
      <c r="P129" s="109"/>
      <c r="Q129" s="109"/>
      <c r="R129" s="57"/>
      <c r="S129" s="57"/>
      <c r="T129" s="109"/>
      <c r="U129" s="57"/>
    </row>
    <row r="130">
      <c r="A130" s="355">
        <f t="shared" si="2"/>
        <v>36</v>
      </c>
      <c r="B130" s="387">
        <v>45483.0</v>
      </c>
      <c r="C130" s="57" t="s">
        <v>155</v>
      </c>
      <c r="D130" s="57" t="s">
        <v>503</v>
      </c>
      <c r="E130" s="57" t="s">
        <v>228</v>
      </c>
      <c r="F130" s="57" t="s">
        <v>498</v>
      </c>
      <c r="G130" s="385">
        <v>7.0823102524E10</v>
      </c>
      <c r="H130" s="350">
        <v>7.0689162524E10</v>
      </c>
      <c r="I130" s="57"/>
      <c r="J130" s="57"/>
      <c r="K130" s="57" t="s">
        <v>499</v>
      </c>
      <c r="L130" s="350"/>
      <c r="M130" s="381"/>
      <c r="N130" s="57" t="s">
        <v>507</v>
      </c>
      <c r="O130" s="57"/>
      <c r="P130" s="109"/>
      <c r="Q130" s="109"/>
      <c r="R130" s="57"/>
      <c r="S130" s="57"/>
      <c r="T130" s="109"/>
      <c r="U130" s="57"/>
    </row>
    <row r="131">
      <c r="A131" s="355">
        <f t="shared" si="2"/>
        <v>37</v>
      </c>
      <c r="B131" s="382" t="s">
        <v>793</v>
      </c>
      <c r="C131" s="57" t="s">
        <v>132</v>
      </c>
      <c r="D131" s="57" t="s">
        <v>503</v>
      </c>
      <c r="E131" s="57" t="s">
        <v>228</v>
      </c>
      <c r="F131" s="57" t="s">
        <v>498</v>
      </c>
      <c r="G131" s="385">
        <v>7.0208952524E10</v>
      </c>
      <c r="H131" s="350">
        <v>7.0253352524E10</v>
      </c>
      <c r="I131" s="57"/>
      <c r="J131" s="57"/>
      <c r="K131" s="57" t="s">
        <v>499</v>
      </c>
      <c r="L131" s="350"/>
      <c r="M131" s="381"/>
      <c r="N131" s="57" t="s">
        <v>507</v>
      </c>
      <c r="O131" s="57"/>
      <c r="P131" s="109"/>
      <c r="Q131" s="109"/>
      <c r="R131" s="57"/>
      <c r="S131" s="57"/>
      <c r="T131" s="109"/>
      <c r="U131" s="57"/>
    </row>
    <row r="132">
      <c r="A132" s="355">
        <f t="shared" si="2"/>
        <v>38</v>
      </c>
      <c r="B132" s="382" t="s">
        <v>794</v>
      </c>
      <c r="C132" s="57" t="s">
        <v>208</v>
      </c>
      <c r="D132" s="57" t="s">
        <v>503</v>
      </c>
      <c r="E132" s="57" t="s">
        <v>228</v>
      </c>
      <c r="F132" s="57" t="s">
        <v>498</v>
      </c>
      <c r="G132" s="385">
        <v>7.0383002524E10</v>
      </c>
      <c r="H132" s="350"/>
      <c r="I132" s="57"/>
      <c r="J132" s="57"/>
      <c r="K132" s="57" t="s">
        <v>499</v>
      </c>
      <c r="L132" s="350"/>
      <c r="M132" s="381"/>
      <c r="N132" s="57" t="s">
        <v>507</v>
      </c>
      <c r="O132" s="57"/>
      <c r="P132" s="109"/>
      <c r="Q132" s="109"/>
      <c r="R132" s="57"/>
      <c r="S132" s="57"/>
      <c r="T132" s="109"/>
      <c r="U132" s="57"/>
    </row>
    <row r="133">
      <c r="A133" s="355">
        <f t="shared" si="2"/>
        <v>39</v>
      </c>
      <c r="B133" s="391" t="s">
        <v>794</v>
      </c>
      <c r="C133" s="57" t="s">
        <v>93</v>
      </c>
      <c r="D133" s="57" t="s">
        <v>503</v>
      </c>
      <c r="E133" s="57" t="s">
        <v>228</v>
      </c>
      <c r="F133" s="57" t="s">
        <v>498</v>
      </c>
      <c r="G133" s="386"/>
      <c r="H133" s="350"/>
      <c r="I133" s="57"/>
      <c r="J133" s="57"/>
      <c r="K133" s="57" t="s">
        <v>499</v>
      </c>
      <c r="L133" s="350"/>
      <c r="M133" s="381"/>
      <c r="N133" s="57" t="s">
        <v>507</v>
      </c>
      <c r="O133" s="57"/>
      <c r="P133" s="109"/>
      <c r="Q133" s="109"/>
      <c r="R133" s="57"/>
      <c r="S133" s="57"/>
      <c r="T133" s="109"/>
      <c r="U133" s="57"/>
    </row>
    <row r="134">
      <c r="A134" s="355">
        <f t="shared" si="2"/>
        <v>40</v>
      </c>
      <c r="B134" s="382" t="s">
        <v>794</v>
      </c>
      <c r="C134" s="57" t="s">
        <v>120</v>
      </c>
      <c r="D134" s="57" t="s">
        <v>527</v>
      </c>
      <c r="E134" s="57" t="s">
        <v>228</v>
      </c>
      <c r="F134" s="57" t="s">
        <v>498</v>
      </c>
      <c r="G134" s="386"/>
      <c r="H134" s="350"/>
      <c r="I134" s="57"/>
      <c r="J134" s="57"/>
      <c r="K134" s="57" t="s">
        <v>499</v>
      </c>
      <c r="L134" s="350"/>
      <c r="M134" s="381"/>
      <c r="N134" s="57" t="s">
        <v>507</v>
      </c>
      <c r="O134" s="57"/>
      <c r="P134" s="109"/>
      <c r="Q134" s="109"/>
      <c r="R134" s="57"/>
      <c r="S134" s="57"/>
      <c r="T134" s="109"/>
      <c r="U134" s="57"/>
    </row>
    <row r="135">
      <c r="A135" s="355">
        <f t="shared" si="2"/>
        <v>41</v>
      </c>
      <c r="B135" s="382" t="s">
        <v>795</v>
      </c>
      <c r="C135" s="57" t="s">
        <v>57</v>
      </c>
      <c r="D135" s="57" t="s">
        <v>503</v>
      </c>
      <c r="E135" s="57" t="s">
        <v>228</v>
      </c>
      <c r="F135" s="57" t="s">
        <v>498</v>
      </c>
      <c r="G135" s="386"/>
      <c r="H135" s="350"/>
      <c r="I135" s="57"/>
      <c r="J135" s="57"/>
      <c r="K135" s="57" t="s">
        <v>499</v>
      </c>
      <c r="L135" s="350"/>
      <c r="M135" s="381"/>
      <c r="N135" s="57" t="s">
        <v>507</v>
      </c>
      <c r="O135" s="57"/>
      <c r="P135" s="109"/>
      <c r="Q135" s="109"/>
      <c r="R135" s="57"/>
      <c r="S135" s="57"/>
      <c r="T135" s="109"/>
      <c r="U135" s="57"/>
    </row>
    <row r="136">
      <c r="A136" s="355">
        <f t="shared" si="2"/>
        <v>42</v>
      </c>
      <c r="B136" s="382" t="s">
        <v>796</v>
      </c>
      <c r="C136" s="57" t="s">
        <v>120</v>
      </c>
      <c r="D136" s="57" t="s">
        <v>503</v>
      </c>
      <c r="E136" s="57" t="s">
        <v>228</v>
      </c>
      <c r="F136" s="57" t="s">
        <v>498</v>
      </c>
      <c r="G136" s="386"/>
      <c r="H136" s="350"/>
      <c r="I136" s="57"/>
      <c r="J136" s="57"/>
      <c r="K136" s="57" t="s">
        <v>499</v>
      </c>
      <c r="L136" s="350"/>
      <c r="M136" s="381"/>
      <c r="N136" s="57" t="s">
        <v>507</v>
      </c>
      <c r="O136" s="57"/>
      <c r="P136" s="109"/>
      <c r="Q136" s="109"/>
      <c r="R136" s="57"/>
      <c r="S136" s="57"/>
      <c r="T136" s="109"/>
      <c r="U136" s="57"/>
    </row>
    <row r="137">
      <c r="A137" s="355">
        <f t="shared" si="2"/>
        <v>43</v>
      </c>
      <c r="B137" s="382" t="s">
        <v>796</v>
      </c>
      <c r="C137" s="57" t="s">
        <v>160</v>
      </c>
      <c r="D137" s="57" t="s">
        <v>503</v>
      </c>
      <c r="E137" s="57" t="s">
        <v>228</v>
      </c>
      <c r="F137" s="57" t="s">
        <v>498</v>
      </c>
      <c r="G137" s="386"/>
      <c r="H137" s="350"/>
      <c r="I137" s="57"/>
      <c r="J137" s="57"/>
      <c r="K137" s="57" t="s">
        <v>499</v>
      </c>
      <c r="L137" s="350"/>
      <c r="M137" s="381"/>
      <c r="N137" s="57" t="s">
        <v>507</v>
      </c>
      <c r="O137" s="57"/>
      <c r="P137" s="109"/>
      <c r="Q137" s="109"/>
      <c r="R137" s="57"/>
      <c r="S137" s="57"/>
      <c r="T137" s="109"/>
      <c r="U137" s="57"/>
    </row>
    <row r="138">
      <c r="A138" s="355">
        <f t="shared" si="2"/>
        <v>44</v>
      </c>
      <c r="B138" s="382" t="s">
        <v>796</v>
      </c>
      <c r="C138" s="57" t="s">
        <v>208</v>
      </c>
      <c r="D138" s="57" t="s">
        <v>497</v>
      </c>
      <c r="E138" s="57" t="s">
        <v>228</v>
      </c>
      <c r="F138" s="57" t="s">
        <v>498</v>
      </c>
      <c r="G138" s="386"/>
      <c r="H138" s="350"/>
      <c r="I138" s="57"/>
      <c r="J138" s="57"/>
      <c r="K138" s="57" t="s">
        <v>499</v>
      </c>
      <c r="L138" s="350"/>
      <c r="M138" s="381"/>
      <c r="N138" s="57" t="s">
        <v>507</v>
      </c>
      <c r="O138" s="57"/>
      <c r="P138" s="109"/>
      <c r="Q138" s="109"/>
      <c r="R138" s="57"/>
      <c r="S138" s="57"/>
      <c r="T138" s="109"/>
      <c r="U138" s="57"/>
    </row>
    <row r="139">
      <c r="A139" s="355">
        <f t="shared" si="2"/>
        <v>45</v>
      </c>
      <c r="B139" s="382" t="s">
        <v>797</v>
      </c>
      <c r="C139" s="57" t="s">
        <v>104</v>
      </c>
      <c r="D139" s="57" t="s">
        <v>497</v>
      </c>
      <c r="E139" s="57" t="s">
        <v>228</v>
      </c>
      <c r="F139" s="57" t="s">
        <v>505</v>
      </c>
      <c r="G139" s="385">
        <v>7.0437533024E10</v>
      </c>
      <c r="H139" s="350"/>
      <c r="I139" s="57" t="s">
        <v>537</v>
      </c>
      <c r="J139" s="57"/>
      <c r="K139" s="57" t="s">
        <v>499</v>
      </c>
      <c r="L139" s="350"/>
      <c r="M139" s="381"/>
      <c r="N139" s="57" t="s">
        <v>507</v>
      </c>
      <c r="O139" s="57"/>
      <c r="P139" s="109"/>
      <c r="Q139" s="109"/>
      <c r="R139" s="57"/>
      <c r="S139" s="57"/>
      <c r="T139" s="109"/>
      <c r="U139" s="57"/>
    </row>
    <row r="140">
      <c r="A140" s="355">
        <f t="shared" si="2"/>
        <v>46</v>
      </c>
      <c r="B140" s="382" t="s">
        <v>797</v>
      </c>
      <c r="C140" s="57" t="s">
        <v>93</v>
      </c>
      <c r="D140" s="57" t="s">
        <v>503</v>
      </c>
      <c r="E140" s="57" t="s">
        <v>228</v>
      </c>
      <c r="F140" s="57" t="s">
        <v>498</v>
      </c>
      <c r="G140" s="385">
        <v>7.0127392824E10</v>
      </c>
      <c r="H140" s="350">
        <v>7.0122052824E10</v>
      </c>
      <c r="I140" s="57"/>
      <c r="J140" s="57"/>
      <c r="K140" s="57" t="s">
        <v>499</v>
      </c>
      <c r="L140" s="350"/>
      <c r="M140" s="381"/>
      <c r="N140" s="57" t="s">
        <v>507</v>
      </c>
      <c r="O140" s="57"/>
      <c r="P140" s="109"/>
      <c r="Q140" s="109"/>
      <c r="R140" s="57"/>
      <c r="S140" s="57"/>
      <c r="T140" s="109"/>
      <c r="U140" s="57"/>
    </row>
    <row r="141">
      <c r="A141" s="355">
        <f t="shared" si="2"/>
        <v>47</v>
      </c>
      <c r="B141" s="382" t="s">
        <v>797</v>
      </c>
      <c r="C141" s="57" t="s">
        <v>208</v>
      </c>
      <c r="D141" s="57" t="s">
        <v>503</v>
      </c>
      <c r="E141" s="57" t="s">
        <v>228</v>
      </c>
      <c r="F141" s="57" t="s">
        <v>498</v>
      </c>
      <c r="G141" s="385">
        <v>7.0726502924E10</v>
      </c>
      <c r="H141" s="350">
        <v>7.0444752324E10</v>
      </c>
      <c r="I141" s="57"/>
      <c r="J141" s="57"/>
      <c r="K141" s="57" t="s">
        <v>499</v>
      </c>
      <c r="L141" s="350"/>
      <c r="M141" s="381"/>
      <c r="N141" s="57" t="s">
        <v>507</v>
      </c>
      <c r="O141" s="57"/>
      <c r="P141" s="109"/>
      <c r="Q141" s="109"/>
      <c r="R141" s="57"/>
      <c r="S141" s="57"/>
      <c r="T141" s="109"/>
      <c r="U141" s="57"/>
    </row>
    <row r="142">
      <c r="A142" s="355">
        <f t="shared" si="2"/>
        <v>48</v>
      </c>
      <c r="B142" s="387">
        <v>45499.0</v>
      </c>
      <c r="C142" s="57" t="s">
        <v>104</v>
      </c>
      <c r="D142" s="57" t="s">
        <v>503</v>
      </c>
      <c r="E142" s="57" t="s">
        <v>228</v>
      </c>
      <c r="F142" s="57" t="s">
        <v>498</v>
      </c>
      <c r="G142" s="385">
        <v>7.0783812924E10</v>
      </c>
      <c r="H142" s="350">
        <v>7.0820192924E10</v>
      </c>
      <c r="I142" s="57" t="s">
        <v>541</v>
      </c>
      <c r="J142" s="57" t="s">
        <v>543</v>
      </c>
      <c r="K142" s="57"/>
      <c r="L142" s="350">
        <v>365375.0</v>
      </c>
      <c r="M142" s="381"/>
      <c r="N142" s="57" t="s">
        <v>507</v>
      </c>
      <c r="O142" s="57"/>
      <c r="P142" s="109"/>
      <c r="Q142" s="109"/>
      <c r="R142" s="57"/>
      <c r="S142" s="57"/>
      <c r="T142" s="109"/>
      <c r="U142" s="57"/>
    </row>
    <row r="143">
      <c r="A143" s="355">
        <f t="shared" si="2"/>
        <v>49</v>
      </c>
      <c r="B143" s="387">
        <v>45504.0</v>
      </c>
      <c r="C143" s="57" t="s">
        <v>104</v>
      </c>
      <c r="D143" s="57" t="s">
        <v>497</v>
      </c>
      <c r="E143" s="57" t="s">
        <v>228</v>
      </c>
      <c r="F143" s="57" t="s">
        <v>498</v>
      </c>
      <c r="G143" s="385">
        <v>7.0437763024E10</v>
      </c>
      <c r="H143" s="350">
        <v>7.0437533024E10</v>
      </c>
      <c r="I143" s="57" t="s">
        <v>537</v>
      </c>
      <c r="J143" s="57" t="s">
        <v>539</v>
      </c>
      <c r="K143" s="57" t="s">
        <v>499</v>
      </c>
      <c r="L143" s="350">
        <v>366929.0</v>
      </c>
      <c r="M143" s="381"/>
      <c r="N143" s="57" t="s">
        <v>507</v>
      </c>
      <c r="O143" s="57"/>
      <c r="P143" s="109"/>
      <c r="Q143" s="109"/>
      <c r="R143" s="57"/>
      <c r="S143" s="57"/>
      <c r="T143" s="109"/>
      <c r="U143" s="57"/>
    </row>
    <row r="144">
      <c r="A144" s="355">
        <f t="shared" si="2"/>
        <v>50</v>
      </c>
      <c r="B144" s="382" t="s">
        <v>798</v>
      </c>
      <c r="C144" s="57" t="s">
        <v>57</v>
      </c>
      <c r="D144" s="57" t="s">
        <v>497</v>
      </c>
      <c r="E144" s="57" t="s">
        <v>228</v>
      </c>
      <c r="F144" s="57" t="s">
        <v>498</v>
      </c>
      <c r="G144" s="385">
        <v>7.0670102424E10</v>
      </c>
      <c r="H144" s="350">
        <v>7.0606023024E10</v>
      </c>
      <c r="I144" s="57"/>
      <c r="J144" s="57"/>
      <c r="K144" s="57" t="s">
        <v>499</v>
      </c>
      <c r="L144" s="350">
        <v>572120.0</v>
      </c>
      <c r="M144" s="381"/>
      <c r="N144" s="57" t="s">
        <v>507</v>
      </c>
      <c r="O144" s="57"/>
      <c r="P144" s="109"/>
      <c r="Q144" s="109"/>
      <c r="R144" s="57"/>
      <c r="S144" s="57"/>
      <c r="T144" s="109"/>
      <c r="U144" s="57"/>
    </row>
    <row r="145">
      <c r="A145" s="355">
        <f t="shared" si="2"/>
        <v>51</v>
      </c>
      <c r="B145" s="387">
        <v>45509.0</v>
      </c>
      <c r="C145" s="57" t="s">
        <v>104</v>
      </c>
      <c r="D145" s="57" t="s">
        <v>497</v>
      </c>
      <c r="E145" s="57" t="s">
        <v>228</v>
      </c>
      <c r="F145" s="57" t="s">
        <v>498</v>
      </c>
      <c r="G145" s="386"/>
      <c r="H145" s="350"/>
      <c r="I145" s="57"/>
      <c r="J145" s="57"/>
      <c r="K145" s="57" t="s">
        <v>499</v>
      </c>
      <c r="L145" s="350"/>
      <c r="M145" s="381"/>
      <c r="N145" s="57" t="s">
        <v>507</v>
      </c>
      <c r="O145" s="57"/>
      <c r="P145" s="109"/>
      <c r="Q145" s="109"/>
      <c r="R145" s="57"/>
      <c r="S145" s="57"/>
      <c r="T145" s="109"/>
      <c r="U145" s="57"/>
    </row>
    <row r="146">
      <c r="A146" s="355">
        <f t="shared" si="2"/>
        <v>52</v>
      </c>
      <c r="B146" s="382" t="s">
        <v>799</v>
      </c>
      <c r="C146" s="57" t="s">
        <v>57</v>
      </c>
      <c r="D146" s="57" t="s">
        <v>503</v>
      </c>
      <c r="E146" s="57" t="s">
        <v>228</v>
      </c>
      <c r="F146" s="57" t="s">
        <v>498</v>
      </c>
      <c r="G146" s="385">
        <v>7.0221622824E10</v>
      </c>
      <c r="H146" s="350">
        <v>7.0793023024E10</v>
      </c>
      <c r="I146" s="57" t="s">
        <v>541</v>
      </c>
      <c r="J146" s="57" t="s">
        <v>543</v>
      </c>
      <c r="K146" s="57" t="s">
        <v>499</v>
      </c>
      <c r="L146" s="350">
        <v>572120.0</v>
      </c>
      <c r="M146" s="381"/>
      <c r="N146" s="57" t="s">
        <v>507</v>
      </c>
      <c r="O146" s="57"/>
      <c r="P146" s="109"/>
      <c r="Q146" s="109"/>
      <c r="R146" s="57"/>
      <c r="S146" s="57"/>
      <c r="T146" s="109"/>
      <c r="U146" s="57"/>
    </row>
    <row r="147">
      <c r="A147" s="355">
        <f t="shared" si="2"/>
        <v>53</v>
      </c>
      <c r="B147" s="387">
        <v>45509.0</v>
      </c>
      <c r="C147" s="57" t="s">
        <v>208</v>
      </c>
      <c r="D147" s="57" t="s">
        <v>503</v>
      </c>
      <c r="E147" s="57" t="s">
        <v>228</v>
      </c>
      <c r="F147" s="57" t="s">
        <v>498</v>
      </c>
      <c r="G147" s="385">
        <v>7.0090662824E10</v>
      </c>
      <c r="H147" s="350">
        <v>7.0092242824E10</v>
      </c>
      <c r="I147" s="57"/>
      <c r="J147" s="57"/>
      <c r="K147" s="57" t="s">
        <v>499</v>
      </c>
      <c r="L147" s="350"/>
      <c r="M147" s="381"/>
      <c r="N147" s="57" t="s">
        <v>507</v>
      </c>
      <c r="O147" s="57"/>
      <c r="P147" s="109"/>
      <c r="Q147" s="109"/>
      <c r="R147" s="57"/>
      <c r="S147" s="57"/>
      <c r="T147" s="109"/>
      <c r="U147" s="57"/>
    </row>
    <row r="148">
      <c r="A148" s="355">
        <f t="shared" si="2"/>
        <v>54</v>
      </c>
      <c r="B148" s="382" t="s">
        <v>800</v>
      </c>
      <c r="C148" s="57" t="s">
        <v>143</v>
      </c>
      <c r="D148" s="57" t="s">
        <v>503</v>
      </c>
      <c r="E148" s="57" t="s">
        <v>228</v>
      </c>
      <c r="F148" s="57" t="s">
        <v>498</v>
      </c>
      <c r="G148" s="385">
        <v>7.0805513024E10</v>
      </c>
      <c r="H148" s="350">
        <v>7.0773083024E10</v>
      </c>
      <c r="I148" s="57"/>
      <c r="J148" s="57"/>
      <c r="K148" s="57" t="s">
        <v>499</v>
      </c>
      <c r="L148" s="350"/>
      <c r="M148" s="381"/>
      <c r="N148" s="57" t="s">
        <v>507</v>
      </c>
      <c r="O148" s="57"/>
      <c r="P148" s="109"/>
      <c r="Q148" s="109"/>
      <c r="R148" s="57"/>
      <c r="S148" s="57"/>
      <c r="T148" s="109"/>
      <c r="U148" s="57"/>
    </row>
    <row r="149">
      <c r="A149" s="355">
        <f t="shared" si="2"/>
        <v>55</v>
      </c>
      <c r="B149" s="387">
        <v>45514.0</v>
      </c>
      <c r="C149" s="57" t="s">
        <v>143</v>
      </c>
      <c r="D149" s="57" t="s">
        <v>503</v>
      </c>
      <c r="E149" s="57" t="s">
        <v>228</v>
      </c>
      <c r="F149" s="57" t="s">
        <v>498</v>
      </c>
      <c r="G149" s="385">
        <v>7.0732533024E10</v>
      </c>
      <c r="H149" s="350">
        <v>7.0762523024E10</v>
      </c>
      <c r="I149" s="57"/>
      <c r="J149" s="57"/>
      <c r="K149" s="57" t="s">
        <v>499</v>
      </c>
      <c r="L149" s="350"/>
      <c r="M149" s="381"/>
      <c r="N149" s="57" t="s">
        <v>507</v>
      </c>
      <c r="O149" s="57"/>
      <c r="P149" s="109"/>
      <c r="Q149" s="109"/>
      <c r="R149" s="57"/>
      <c r="S149" s="57"/>
      <c r="T149" s="109"/>
      <c r="U149" s="57"/>
    </row>
    <row r="150">
      <c r="A150" s="355">
        <f t="shared" si="2"/>
        <v>56</v>
      </c>
      <c r="B150" s="382" t="s">
        <v>800</v>
      </c>
      <c r="C150" s="57" t="s">
        <v>120</v>
      </c>
      <c r="D150" s="57" t="s">
        <v>503</v>
      </c>
      <c r="E150" s="57" t="s">
        <v>228</v>
      </c>
      <c r="F150" s="57" t="s">
        <v>498</v>
      </c>
      <c r="G150" s="385">
        <v>7.0806013024E10</v>
      </c>
      <c r="H150" s="350">
        <v>7.0803523024E10</v>
      </c>
      <c r="I150" s="57" t="s">
        <v>541</v>
      </c>
      <c r="J150" s="57" t="s">
        <v>543</v>
      </c>
      <c r="K150" s="57" t="s">
        <v>499</v>
      </c>
      <c r="L150" s="350">
        <v>625552.0</v>
      </c>
      <c r="M150" s="381"/>
      <c r="N150" s="57" t="s">
        <v>507</v>
      </c>
      <c r="O150" s="57"/>
      <c r="P150" s="109"/>
      <c r="Q150" s="109"/>
      <c r="R150" s="57"/>
      <c r="S150" s="57"/>
      <c r="T150" s="109"/>
      <c r="U150" s="57"/>
    </row>
    <row r="151">
      <c r="A151" s="355">
        <f t="shared" si="2"/>
        <v>57</v>
      </c>
      <c r="B151" s="389" t="s">
        <v>801</v>
      </c>
      <c r="C151" s="57" t="s">
        <v>147</v>
      </c>
      <c r="D151" s="57" t="s">
        <v>497</v>
      </c>
      <c r="E151" s="57" t="s">
        <v>228</v>
      </c>
      <c r="F151" s="57" t="s">
        <v>498</v>
      </c>
      <c r="G151" s="385">
        <v>7.0751493024E10</v>
      </c>
      <c r="H151" s="350">
        <v>7.0265723224E10</v>
      </c>
      <c r="I151" s="57" t="s">
        <v>510</v>
      </c>
      <c r="J151" s="57" t="s">
        <v>515</v>
      </c>
      <c r="K151" s="57" t="s">
        <v>499</v>
      </c>
      <c r="L151" s="350">
        <v>748215.0</v>
      </c>
      <c r="M151" s="381"/>
      <c r="N151" s="57" t="s">
        <v>5</v>
      </c>
      <c r="O151" s="57"/>
      <c r="P151" s="109"/>
      <c r="Q151" s="109"/>
      <c r="R151" s="57"/>
      <c r="S151" s="57"/>
      <c r="T151" s="109"/>
      <c r="U151" s="57"/>
    </row>
    <row r="152">
      <c r="A152" s="355">
        <f t="shared" si="2"/>
        <v>58</v>
      </c>
      <c r="B152" s="382" t="s">
        <v>801</v>
      </c>
      <c r="C152" s="57" t="s">
        <v>93</v>
      </c>
      <c r="D152" s="57" t="s">
        <v>503</v>
      </c>
      <c r="E152" s="57" t="s">
        <v>228</v>
      </c>
      <c r="F152" s="57" t="s">
        <v>498</v>
      </c>
      <c r="G152" s="385">
        <v>7.0876053224E10</v>
      </c>
      <c r="H152" s="350">
        <v>7.0891953224E10</v>
      </c>
      <c r="I152" s="57"/>
      <c r="J152" s="57"/>
      <c r="K152" s="57" t="s">
        <v>499</v>
      </c>
      <c r="L152" s="350"/>
      <c r="M152" s="381"/>
      <c r="N152" s="57" t="s">
        <v>507</v>
      </c>
      <c r="O152" s="57"/>
      <c r="P152" s="109"/>
      <c r="Q152" s="109"/>
      <c r="R152" s="57"/>
      <c r="S152" s="57"/>
      <c r="T152" s="109"/>
      <c r="U152" s="57"/>
    </row>
    <row r="153">
      <c r="A153" s="355">
        <f t="shared" si="2"/>
        <v>59</v>
      </c>
      <c r="B153" s="387">
        <v>45517.0</v>
      </c>
      <c r="C153" s="57" t="s">
        <v>93</v>
      </c>
      <c r="D153" s="57" t="s">
        <v>527</v>
      </c>
      <c r="E153" s="57" t="s">
        <v>512</v>
      </c>
      <c r="F153" s="57" t="s">
        <v>505</v>
      </c>
      <c r="G153" s="385">
        <v>7.0324610124E10</v>
      </c>
      <c r="H153" s="350"/>
      <c r="I153" s="57"/>
      <c r="J153" s="57"/>
      <c r="K153" s="57" t="s">
        <v>518</v>
      </c>
      <c r="L153" s="350"/>
      <c r="M153" s="350"/>
      <c r="N153" s="57" t="s">
        <v>507</v>
      </c>
      <c r="O153" s="57"/>
      <c r="P153" s="109"/>
      <c r="Q153" s="109"/>
      <c r="R153" s="57"/>
      <c r="S153" s="57"/>
      <c r="T153" s="109"/>
      <c r="U153" s="57"/>
    </row>
    <row r="154">
      <c r="A154" s="355">
        <f t="shared" si="2"/>
        <v>60</v>
      </c>
      <c r="B154" s="387">
        <v>45518.0</v>
      </c>
      <c r="C154" s="57" t="s">
        <v>147</v>
      </c>
      <c r="D154" s="57" t="s">
        <v>497</v>
      </c>
      <c r="E154" s="57" t="s">
        <v>228</v>
      </c>
      <c r="F154" s="57" t="s">
        <v>498</v>
      </c>
      <c r="G154" s="385">
        <v>7.0265723224E10</v>
      </c>
      <c r="H154" s="350">
        <v>7.0751493024E10</v>
      </c>
      <c r="I154" s="57"/>
      <c r="J154" s="57"/>
      <c r="K154" s="57"/>
      <c r="L154" s="350"/>
      <c r="M154" s="350"/>
      <c r="N154" s="57"/>
      <c r="O154" s="57"/>
      <c r="P154" s="109"/>
      <c r="Q154" s="109"/>
      <c r="R154" s="57"/>
      <c r="S154" s="57"/>
      <c r="T154" s="109"/>
      <c r="U154" s="57"/>
    </row>
    <row r="155">
      <c r="A155" s="355">
        <f t="shared" si="2"/>
        <v>61</v>
      </c>
      <c r="B155" s="387">
        <v>45518.0</v>
      </c>
      <c r="C155" s="57" t="s">
        <v>147</v>
      </c>
      <c r="D155" s="57" t="s">
        <v>527</v>
      </c>
      <c r="E155" s="57" t="s">
        <v>512</v>
      </c>
      <c r="F155" s="57" t="s">
        <v>505</v>
      </c>
      <c r="G155" s="385">
        <v>7.0055510224E10</v>
      </c>
      <c r="H155" s="350"/>
      <c r="I155" s="57"/>
      <c r="J155" s="57"/>
      <c r="K155" s="57" t="s">
        <v>518</v>
      </c>
      <c r="L155" s="350"/>
      <c r="M155" s="350"/>
      <c r="N155" s="57" t="s">
        <v>507</v>
      </c>
      <c r="O155" s="57"/>
      <c r="P155" s="109"/>
      <c r="Q155" s="109"/>
      <c r="R155" s="57"/>
      <c r="S155" s="57"/>
      <c r="T155" s="109"/>
      <c r="U155" s="57"/>
    </row>
    <row r="156">
      <c r="A156" s="355">
        <f t="shared" si="2"/>
        <v>62</v>
      </c>
      <c r="B156" s="382" t="s">
        <v>802</v>
      </c>
      <c r="C156" s="57" t="s">
        <v>136</v>
      </c>
      <c r="D156" s="57" t="s">
        <v>503</v>
      </c>
      <c r="E156" s="57" t="s">
        <v>228</v>
      </c>
      <c r="F156" s="57" t="s">
        <v>498</v>
      </c>
      <c r="G156" s="386"/>
      <c r="H156" s="350"/>
      <c r="I156" s="57"/>
      <c r="J156" s="57"/>
      <c r="K156" s="57" t="s">
        <v>499</v>
      </c>
      <c r="L156" s="350"/>
      <c r="M156" s="350"/>
      <c r="N156" s="57" t="s">
        <v>507</v>
      </c>
      <c r="O156" s="57"/>
      <c r="P156" s="109"/>
      <c r="Q156" s="109"/>
      <c r="R156" s="57"/>
      <c r="S156" s="57"/>
      <c r="T156" s="109"/>
      <c r="U156" s="57"/>
    </row>
    <row r="157">
      <c r="A157" s="355">
        <f t="shared" si="2"/>
        <v>63</v>
      </c>
      <c r="B157" s="382" t="s">
        <v>803</v>
      </c>
      <c r="C157" s="57" t="s">
        <v>132</v>
      </c>
      <c r="D157" s="57" t="s">
        <v>503</v>
      </c>
      <c r="E157" s="57" t="s">
        <v>228</v>
      </c>
      <c r="F157" s="57" t="s">
        <v>498</v>
      </c>
      <c r="G157" s="385">
        <v>7.0388573424E10</v>
      </c>
      <c r="H157" s="350">
        <v>7.0610083124E10</v>
      </c>
      <c r="I157" s="57"/>
      <c r="J157" s="57"/>
      <c r="K157" s="57" t="s">
        <v>499</v>
      </c>
      <c r="L157" s="350"/>
      <c r="M157" s="350"/>
      <c r="N157" s="57" t="s">
        <v>507</v>
      </c>
      <c r="O157" s="57"/>
      <c r="P157" s="109"/>
      <c r="Q157" s="109"/>
      <c r="R157" s="57"/>
      <c r="S157" s="57"/>
      <c r="T157" s="109"/>
      <c r="U157" s="57"/>
    </row>
    <row r="158">
      <c r="A158" s="355">
        <f t="shared" si="2"/>
        <v>64</v>
      </c>
      <c r="B158" s="387">
        <v>45542.0</v>
      </c>
      <c r="C158" s="57" t="s">
        <v>160</v>
      </c>
      <c r="D158" s="57" t="s">
        <v>503</v>
      </c>
      <c r="E158" s="57" t="s">
        <v>512</v>
      </c>
      <c r="F158" s="57" t="s">
        <v>498</v>
      </c>
      <c r="G158" s="385">
        <v>7.0121022421E10</v>
      </c>
      <c r="H158" s="350">
        <v>7.0320092321E10</v>
      </c>
      <c r="I158" s="57"/>
      <c r="J158" s="57"/>
      <c r="K158" s="57" t="s">
        <v>518</v>
      </c>
      <c r="L158" s="350"/>
      <c r="M158" s="350"/>
      <c r="N158" s="57" t="s">
        <v>507</v>
      </c>
      <c r="O158" s="57"/>
      <c r="P158" s="109"/>
      <c r="Q158" s="109"/>
      <c r="R158" s="57"/>
      <c r="S158" s="57"/>
      <c r="T158" s="109"/>
      <c r="U158" s="57"/>
    </row>
    <row r="159">
      <c r="A159" s="355">
        <f t="shared" si="2"/>
        <v>65</v>
      </c>
      <c r="B159" s="382" t="s">
        <v>804</v>
      </c>
      <c r="C159" s="57" t="s">
        <v>208</v>
      </c>
      <c r="D159" s="57" t="s">
        <v>503</v>
      </c>
      <c r="E159" s="57" t="s">
        <v>228</v>
      </c>
      <c r="F159" s="57" t="s">
        <v>498</v>
      </c>
      <c r="G159" s="385">
        <v>7.0527733224E10</v>
      </c>
      <c r="H159" s="350">
        <v>7.0500793221E10</v>
      </c>
      <c r="I159" s="57"/>
      <c r="J159" s="57"/>
      <c r="K159" s="57" t="s">
        <v>499</v>
      </c>
      <c r="L159" s="350"/>
      <c r="M159" s="350"/>
      <c r="N159" s="57" t="s">
        <v>507</v>
      </c>
      <c r="O159" s="57"/>
      <c r="P159" s="109"/>
      <c r="Q159" s="109"/>
      <c r="R159" s="57"/>
      <c r="S159" s="57"/>
      <c r="T159" s="109"/>
      <c r="U159" s="57"/>
    </row>
    <row r="160">
      <c r="A160" s="355">
        <f t="shared" si="2"/>
        <v>66</v>
      </c>
      <c r="B160" s="382" t="s">
        <v>804</v>
      </c>
      <c r="C160" s="57" t="s">
        <v>159</v>
      </c>
      <c r="D160" s="57" t="s">
        <v>497</v>
      </c>
      <c r="E160" s="57" t="s">
        <v>228</v>
      </c>
      <c r="F160" s="57" t="s">
        <v>498</v>
      </c>
      <c r="G160" s="385">
        <v>7.0500173624E10</v>
      </c>
      <c r="H160" s="350">
        <v>7.0503143624E10</v>
      </c>
      <c r="I160" s="57" t="s">
        <v>541</v>
      </c>
      <c r="J160" s="57" t="s">
        <v>543</v>
      </c>
      <c r="K160" s="57" t="s">
        <v>499</v>
      </c>
      <c r="L160" s="350">
        <v>147551.0</v>
      </c>
      <c r="M160" s="350"/>
      <c r="N160" s="57" t="s">
        <v>507</v>
      </c>
      <c r="O160" s="57"/>
      <c r="P160" s="109"/>
      <c r="Q160" s="109"/>
      <c r="R160" s="57"/>
      <c r="S160" s="57"/>
      <c r="T160" s="109"/>
      <c r="U160" s="57"/>
    </row>
    <row r="161">
      <c r="A161" s="355">
        <f t="shared" si="2"/>
        <v>67</v>
      </c>
      <c r="B161" s="382" t="s">
        <v>805</v>
      </c>
      <c r="C161" s="57" t="s">
        <v>57</v>
      </c>
      <c r="D161" s="57" t="s">
        <v>497</v>
      </c>
      <c r="E161" s="57" t="s">
        <v>228</v>
      </c>
      <c r="F161" s="57" t="s">
        <v>498</v>
      </c>
      <c r="G161" s="385">
        <v>7.0173513424E10</v>
      </c>
      <c r="H161" s="350">
        <v>7.0031143424E10</v>
      </c>
      <c r="I161" s="57"/>
      <c r="J161" s="57"/>
      <c r="K161" s="57" t="s">
        <v>513</v>
      </c>
      <c r="L161" s="350"/>
      <c r="M161" s="350"/>
      <c r="N161" s="57" t="s">
        <v>507</v>
      </c>
      <c r="O161" s="57"/>
      <c r="P161" s="109"/>
      <c r="Q161" s="109"/>
      <c r="R161" s="57"/>
      <c r="S161" s="57"/>
      <c r="T161" s="109"/>
      <c r="U161" s="57"/>
    </row>
    <row r="162">
      <c r="A162" s="355">
        <f t="shared" si="2"/>
        <v>68</v>
      </c>
      <c r="B162" s="382" t="s">
        <v>806</v>
      </c>
      <c r="C162" s="57" t="s">
        <v>120</v>
      </c>
      <c r="D162" s="57" t="s">
        <v>503</v>
      </c>
      <c r="E162" s="57" t="s">
        <v>228</v>
      </c>
      <c r="F162" s="57" t="s">
        <v>498</v>
      </c>
      <c r="G162" s="385">
        <v>7.0522313224E10</v>
      </c>
      <c r="H162" s="350">
        <v>7.0228243924E10</v>
      </c>
      <c r="I162" s="57" t="s">
        <v>537</v>
      </c>
      <c r="J162" s="57" t="s">
        <v>539</v>
      </c>
      <c r="K162" s="57" t="s">
        <v>499</v>
      </c>
      <c r="L162" s="350">
        <v>646928.0</v>
      </c>
      <c r="M162" s="350"/>
      <c r="N162" s="57" t="s">
        <v>507</v>
      </c>
      <c r="O162" s="57"/>
      <c r="P162" s="109"/>
      <c r="Q162" s="109"/>
      <c r="R162" s="57"/>
      <c r="S162" s="57"/>
      <c r="T162" s="109"/>
      <c r="U162" s="57"/>
    </row>
    <row r="163">
      <c r="A163" s="355">
        <f t="shared" si="2"/>
        <v>69</v>
      </c>
      <c r="B163" s="382" t="s">
        <v>807</v>
      </c>
      <c r="C163" s="57" t="s">
        <v>132</v>
      </c>
      <c r="D163" s="57" t="s">
        <v>503</v>
      </c>
      <c r="E163" s="57" t="s">
        <v>228</v>
      </c>
      <c r="F163" s="57" t="s">
        <v>498</v>
      </c>
      <c r="G163" s="385">
        <v>7.0769854124E10</v>
      </c>
      <c r="H163" s="350">
        <v>7.0801624124E10</v>
      </c>
      <c r="I163" s="57"/>
      <c r="J163" s="57"/>
      <c r="K163" s="57" t="s">
        <v>499</v>
      </c>
      <c r="L163" s="350"/>
      <c r="M163" s="350"/>
      <c r="N163" s="57" t="s">
        <v>507</v>
      </c>
      <c r="O163" s="57"/>
      <c r="P163" s="109"/>
      <c r="Q163" s="109"/>
      <c r="R163" s="57"/>
      <c r="S163" s="57"/>
      <c r="T163" s="109"/>
      <c r="U163" s="57"/>
    </row>
    <row r="164">
      <c r="A164" s="355">
        <f t="shared" si="2"/>
        <v>70</v>
      </c>
      <c r="B164" s="382" t="s">
        <v>807</v>
      </c>
      <c r="C164" s="57" t="s">
        <v>147</v>
      </c>
      <c r="D164" s="57" t="s">
        <v>503</v>
      </c>
      <c r="E164" s="57" t="s">
        <v>228</v>
      </c>
      <c r="F164" s="57" t="s">
        <v>498</v>
      </c>
      <c r="G164" s="385">
        <v>7.0769854124E10</v>
      </c>
      <c r="H164" s="350">
        <v>7.0801684124E10</v>
      </c>
      <c r="I164" s="57"/>
      <c r="J164" s="57"/>
      <c r="K164" s="57" t="s">
        <v>499</v>
      </c>
      <c r="L164" s="350"/>
      <c r="M164" s="350"/>
      <c r="N164" s="57" t="s">
        <v>507</v>
      </c>
      <c r="O164" s="57"/>
      <c r="P164" s="109"/>
      <c r="Q164" s="109"/>
      <c r="R164" s="57"/>
      <c r="S164" s="57"/>
      <c r="T164" s="109"/>
      <c r="U164" s="57"/>
    </row>
    <row r="165">
      <c r="A165" s="355">
        <f t="shared" si="2"/>
        <v>71</v>
      </c>
      <c r="B165" s="382" t="s">
        <v>807</v>
      </c>
      <c r="C165" s="57" t="s">
        <v>136</v>
      </c>
      <c r="D165" s="57" t="s">
        <v>497</v>
      </c>
      <c r="E165" s="57" t="s">
        <v>228</v>
      </c>
      <c r="F165" s="57" t="s">
        <v>498</v>
      </c>
      <c r="G165" s="385">
        <v>7.0019904124E10</v>
      </c>
      <c r="H165" s="350">
        <v>7.0014354124E10</v>
      </c>
      <c r="I165" s="57"/>
      <c r="J165" s="57"/>
      <c r="K165" s="57" t="s">
        <v>499</v>
      </c>
      <c r="L165" s="350"/>
      <c r="M165" s="350"/>
      <c r="N165" s="57" t="s">
        <v>507</v>
      </c>
      <c r="O165" s="57"/>
      <c r="P165" s="109"/>
      <c r="Q165" s="109"/>
      <c r="R165" s="57"/>
      <c r="S165" s="57"/>
      <c r="T165" s="109"/>
      <c r="U165" s="57"/>
    </row>
    <row r="166">
      <c r="A166" s="355">
        <f t="shared" si="2"/>
        <v>72</v>
      </c>
      <c r="B166" s="392">
        <v>45606.0</v>
      </c>
      <c r="C166" s="57" t="s">
        <v>121</v>
      </c>
      <c r="D166" s="57" t="s">
        <v>516</v>
      </c>
      <c r="E166" s="57" t="s">
        <v>228</v>
      </c>
      <c r="F166" s="57" t="s">
        <v>498</v>
      </c>
      <c r="G166" s="385" t="s">
        <v>808</v>
      </c>
      <c r="H166" s="350" t="s">
        <v>809</v>
      </c>
      <c r="I166" s="57" t="s">
        <v>510</v>
      </c>
      <c r="J166" s="57" t="s">
        <v>515</v>
      </c>
      <c r="K166" s="57"/>
      <c r="L166" s="350">
        <v>575483.0</v>
      </c>
      <c r="M166" s="350"/>
      <c r="N166" s="57"/>
      <c r="O166" s="57"/>
      <c r="P166" s="109"/>
      <c r="Q166" s="109"/>
      <c r="R166" s="57"/>
      <c r="S166" s="57"/>
      <c r="T166" s="109"/>
      <c r="U166" s="57"/>
    </row>
    <row r="167">
      <c r="A167" s="355">
        <f t="shared" si="2"/>
        <v>73</v>
      </c>
      <c r="B167" s="382" t="s">
        <v>810</v>
      </c>
      <c r="C167" s="57" t="s">
        <v>168</v>
      </c>
      <c r="D167" s="57" t="s">
        <v>503</v>
      </c>
      <c r="E167" s="57" t="s">
        <v>228</v>
      </c>
      <c r="F167" s="57" t="s">
        <v>498</v>
      </c>
      <c r="G167" s="386"/>
      <c r="H167" s="350"/>
      <c r="I167" s="57"/>
      <c r="J167" s="57"/>
      <c r="K167" s="57" t="s">
        <v>499</v>
      </c>
      <c r="L167" s="350"/>
      <c r="M167" s="350"/>
      <c r="N167" s="57" t="s">
        <v>507</v>
      </c>
      <c r="O167" s="57"/>
      <c r="P167" s="109"/>
      <c r="Q167" s="109"/>
      <c r="R167" s="57"/>
      <c r="S167" s="57"/>
      <c r="T167" s="109"/>
      <c r="U167" s="57"/>
    </row>
    <row r="168">
      <c r="A168" s="355">
        <f t="shared" si="2"/>
        <v>74</v>
      </c>
      <c r="B168" s="382" t="s">
        <v>810</v>
      </c>
      <c r="C168" s="57" t="s">
        <v>168</v>
      </c>
      <c r="D168" s="57" t="s">
        <v>503</v>
      </c>
      <c r="E168" s="57" t="s">
        <v>228</v>
      </c>
      <c r="F168" s="57" t="s">
        <v>498</v>
      </c>
      <c r="G168" s="386"/>
      <c r="H168" s="350"/>
      <c r="I168" s="57"/>
      <c r="J168" s="57"/>
      <c r="K168" s="57" t="s">
        <v>499</v>
      </c>
      <c r="L168" s="350"/>
      <c r="M168" s="350"/>
      <c r="N168" s="57" t="s">
        <v>507</v>
      </c>
      <c r="O168" s="57"/>
      <c r="P168" s="109"/>
      <c r="Q168" s="109"/>
      <c r="R168" s="57"/>
      <c r="S168" s="57"/>
      <c r="T168" s="109"/>
      <c r="U168" s="57"/>
    </row>
    <row r="169">
      <c r="A169" s="355">
        <f t="shared" si="2"/>
        <v>75</v>
      </c>
      <c r="B169" s="382" t="s">
        <v>810</v>
      </c>
      <c r="C169" s="57" t="s">
        <v>155</v>
      </c>
      <c r="D169" s="57" t="s">
        <v>503</v>
      </c>
      <c r="E169" s="57" t="s">
        <v>228</v>
      </c>
      <c r="F169" s="57" t="s">
        <v>498</v>
      </c>
      <c r="G169" s="386"/>
      <c r="H169" s="350"/>
      <c r="I169" s="57"/>
      <c r="J169" s="57"/>
      <c r="K169" s="57" t="s">
        <v>499</v>
      </c>
      <c r="L169" s="350"/>
      <c r="M169" s="350"/>
      <c r="N169" s="57" t="s">
        <v>507</v>
      </c>
      <c r="O169" s="57"/>
      <c r="P169" s="109"/>
      <c r="Q169" s="109"/>
      <c r="R169" s="57"/>
      <c r="S169" s="57"/>
      <c r="T169" s="109"/>
      <c r="U169" s="57"/>
    </row>
    <row r="170">
      <c r="A170" s="355">
        <f t="shared" si="2"/>
        <v>76</v>
      </c>
      <c r="B170" s="382" t="s">
        <v>810</v>
      </c>
      <c r="C170" s="57" t="s">
        <v>155</v>
      </c>
      <c r="D170" s="57" t="s">
        <v>503</v>
      </c>
      <c r="E170" s="57" t="s">
        <v>228</v>
      </c>
      <c r="F170" s="57" t="s">
        <v>498</v>
      </c>
      <c r="G170" s="386"/>
      <c r="H170" s="350"/>
      <c r="I170" s="57"/>
      <c r="J170" s="57"/>
      <c r="K170" s="57" t="s">
        <v>499</v>
      </c>
      <c r="L170" s="350"/>
      <c r="M170" s="350"/>
      <c r="N170" s="57" t="s">
        <v>507</v>
      </c>
      <c r="O170" s="57"/>
      <c r="P170" s="109"/>
      <c r="Q170" s="109"/>
      <c r="R170" s="57"/>
      <c r="S170" s="57"/>
      <c r="T170" s="109"/>
      <c r="U170" s="57"/>
    </row>
    <row r="171">
      <c r="A171" s="355">
        <f t="shared" si="2"/>
        <v>77</v>
      </c>
      <c r="B171" s="382" t="s">
        <v>811</v>
      </c>
      <c r="C171" s="57" t="s">
        <v>136</v>
      </c>
      <c r="D171" s="57" t="s">
        <v>503</v>
      </c>
      <c r="E171" s="57" t="s">
        <v>228</v>
      </c>
      <c r="F171" s="57" t="s">
        <v>498</v>
      </c>
      <c r="G171" s="386"/>
      <c r="H171" s="350"/>
      <c r="I171" s="57"/>
      <c r="J171" s="57"/>
      <c r="K171" s="57" t="s">
        <v>499</v>
      </c>
      <c r="L171" s="350"/>
      <c r="M171" s="350"/>
      <c r="N171" s="57" t="s">
        <v>507</v>
      </c>
      <c r="O171" s="57"/>
      <c r="P171" s="109"/>
      <c r="Q171" s="109"/>
      <c r="R171" s="57"/>
      <c r="S171" s="57"/>
      <c r="T171" s="109"/>
      <c r="U171" s="57"/>
    </row>
    <row r="172">
      <c r="A172" s="355">
        <f t="shared" si="2"/>
        <v>78</v>
      </c>
      <c r="B172" s="382" t="s">
        <v>811</v>
      </c>
      <c r="C172" s="57" t="s">
        <v>159</v>
      </c>
      <c r="D172" s="57" t="s">
        <v>503</v>
      </c>
      <c r="E172" s="57" t="s">
        <v>228</v>
      </c>
      <c r="F172" s="57" t="s">
        <v>498</v>
      </c>
      <c r="G172" s="385">
        <v>7.0092642824E10</v>
      </c>
      <c r="H172" s="350">
        <v>7.0027232824E10</v>
      </c>
      <c r="I172" s="57" t="s">
        <v>539</v>
      </c>
      <c r="J172" s="57" t="s">
        <v>537</v>
      </c>
      <c r="K172" s="57" t="s">
        <v>499</v>
      </c>
      <c r="L172" s="350">
        <v>161996.0</v>
      </c>
      <c r="M172" s="350"/>
      <c r="N172" s="57" t="s">
        <v>507</v>
      </c>
      <c r="O172" s="57"/>
      <c r="P172" s="109"/>
      <c r="Q172" s="109"/>
      <c r="R172" s="57"/>
      <c r="S172" s="57"/>
      <c r="T172" s="109"/>
      <c r="U172" s="57"/>
    </row>
    <row r="173">
      <c r="A173" s="355">
        <f t="shared" si="2"/>
        <v>79</v>
      </c>
      <c r="B173" s="392">
        <v>45627.0</v>
      </c>
      <c r="C173" s="57" t="s">
        <v>160</v>
      </c>
      <c r="D173" s="57"/>
      <c r="E173" s="57" t="s">
        <v>512</v>
      </c>
      <c r="F173" s="57" t="s">
        <v>498</v>
      </c>
      <c r="G173" s="385">
        <v>7.0330230324E10</v>
      </c>
      <c r="H173" s="350">
        <v>7.0330390324E10</v>
      </c>
      <c r="I173" s="57" t="s">
        <v>543</v>
      </c>
      <c r="J173" s="57" t="s">
        <v>541</v>
      </c>
      <c r="K173" s="57" t="s">
        <v>518</v>
      </c>
      <c r="L173" s="350">
        <v>753620.0</v>
      </c>
      <c r="M173" s="350"/>
      <c r="N173" s="57"/>
      <c r="O173" s="57"/>
      <c r="P173" s="109"/>
      <c r="Q173" s="109"/>
      <c r="R173" s="57"/>
      <c r="S173" s="57"/>
      <c r="T173" s="109"/>
      <c r="U173" s="57"/>
    </row>
    <row r="174">
      <c r="A174" s="355">
        <f t="shared" si="2"/>
        <v>80</v>
      </c>
      <c r="B174" s="382" t="s">
        <v>812</v>
      </c>
      <c r="C174" s="57" t="s">
        <v>147</v>
      </c>
      <c r="D174" s="57" t="s">
        <v>497</v>
      </c>
      <c r="E174" s="57" t="s">
        <v>228</v>
      </c>
      <c r="F174" s="57" t="s">
        <v>498</v>
      </c>
      <c r="G174" s="385">
        <v>7.0466924624E10</v>
      </c>
      <c r="H174" s="350">
        <v>7.0553574624E10</v>
      </c>
      <c r="I174" s="57" t="s">
        <v>496</v>
      </c>
      <c r="J174" s="57" t="s">
        <v>502</v>
      </c>
      <c r="K174" s="57" t="s">
        <v>499</v>
      </c>
      <c r="L174" s="350">
        <v>781460.0</v>
      </c>
      <c r="M174" s="350"/>
      <c r="N174" s="57" t="s">
        <v>507</v>
      </c>
      <c r="O174" s="57"/>
      <c r="P174" s="109"/>
      <c r="Q174" s="109"/>
      <c r="R174" s="57"/>
      <c r="S174" s="57"/>
      <c r="T174" s="109"/>
      <c r="U174" s="57"/>
    </row>
    <row r="175">
      <c r="A175" s="355">
        <f t="shared" si="2"/>
        <v>81</v>
      </c>
      <c r="B175" s="382" t="s">
        <v>812</v>
      </c>
      <c r="C175" s="57" t="s">
        <v>160</v>
      </c>
      <c r="D175" s="57" t="s">
        <v>503</v>
      </c>
      <c r="E175" s="57" t="s">
        <v>228</v>
      </c>
      <c r="F175" s="57" t="s">
        <v>498</v>
      </c>
      <c r="G175" s="386"/>
      <c r="H175" s="350"/>
      <c r="I175" s="57"/>
      <c r="J175" s="57"/>
      <c r="K175" s="57" t="s">
        <v>499</v>
      </c>
      <c r="L175" s="350"/>
      <c r="M175" s="350"/>
      <c r="N175" s="57" t="s">
        <v>507</v>
      </c>
      <c r="O175" s="57"/>
      <c r="P175" s="109"/>
      <c r="Q175" s="109"/>
      <c r="R175" s="57"/>
      <c r="S175" s="57"/>
      <c r="T175" s="109"/>
      <c r="U175" s="57"/>
    </row>
    <row r="176">
      <c r="A176" s="355">
        <f t="shared" si="2"/>
        <v>82</v>
      </c>
      <c r="B176" s="382" t="s">
        <v>813</v>
      </c>
      <c r="C176" s="57" t="s">
        <v>120</v>
      </c>
      <c r="D176" s="57" t="s">
        <v>497</v>
      </c>
      <c r="E176" s="57" t="s">
        <v>228</v>
      </c>
      <c r="F176" s="57" t="s">
        <v>498</v>
      </c>
      <c r="G176" s="385">
        <v>7.0328624424E10</v>
      </c>
      <c r="H176" s="350">
        <v>7.0340814724E10</v>
      </c>
      <c r="I176" s="57" t="s">
        <v>510</v>
      </c>
      <c r="J176" s="57" t="s">
        <v>515</v>
      </c>
      <c r="K176" s="57" t="s">
        <v>499</v>
      </c>
      <c r="L176" s="350">
        <v>654513.0</v>
      </c>
      <c r="M176" s="350"/>
      <c r="N176" s="57" t="s">
        <v>507</v>
      </c>
      <c r="O176" s="57"/>
      <c r="P176" s="109"/>
      <c r="Q176" s="109"/>
      <c r="R176" s="57"/>
      <c r="S176" s="57"/>
      <c r="T176" s="109"/>
      <c r="U176" s="57"/>
    </row>
    <row r="177">
      <c r="A177" s="355">
        <f t="shared" si="2"/>
        <v>83</v>
      </c>
      <c r="B177" s="387">
        <v>45634.0</v>
      </c>
      <c r="C177" s="57" t="s">
        <v>104</v>
      </c>
      <c r="D177" s="57"/>
      <c r="E177" s="57" t="s">
        <v>512</v>
      </c>
      <c r="F177" s="57" t="s">
        <v>498</v>
      </c>
      <c r="G177" s="385">
        <v>7.0417501524E10</v>
      </c>
      <c r="H177" s="350">
        <v>7.0604151624E10</v>
      </c>
      <c r="I177" s="57" t="s">
        <v>510</v>
      </c>
      <c r="J177" s="57" t="s">
        <v>515</v>
      </c>
      <c r="K177" s="57"/>
      <c r="L177" s="350">
        <v>397446.0</v>
      </c>
      <c r="M177" s="350"/>
      <c r="N177" s="57"/>
      <c r="O177" s="57"/>
      <c r="P177" s="109"/>
      <c r="Q177" s="109"/>
      <c r="R177" s="57"/>
      <c r="S177" s="57"/>
      <c r="T177" s="109"/>
      <c r="U177" s="57"/>
    </row>
    <row r="178">
      <c r="A178" s="355">
        <f t="shared" si="2"/>
        <v>84</v>
      </c>
      <c r="B178" s="382" t="s">
        <v>814</v>
      </c>
      <c r="C178" s="57" t="s">
        <v>143</v>
      </c>
      <c r="D178" s="57" t="s">
        <v>503</v>
      </c>
      <c r="E178" s="57" t="s">
        <v>228</v>
      </c>
      <c r="F178" s="57" t="s">
        <v>498</v>
      </c>
      <c r="G178" s="386"/>
      <c r="H178" s="350"/>
      <c r="I178" s="57"/>
      <c r="J178" s="57"/>
      <c r="K178" s="57" t="s">
        <v>499</v>
      </c>
      <c r="L178" s="350"/>
      <c r="M178" s="350"/>
      <c r="N178" s="57" t="s">
        <v>507</v>
      </c>
      <c r="O178" s="57"/>
      <c r="P178" s="109"/>
      <c r="Q178" s="109"/>
      <c r="R178" s="57"/>
      <c r="S178" s="57"/>
      <c r="T178" s="109"/>
      <c r="U178" s="57"/>
    </row>
    <row r="179">
      <c r="A179" s="355">
        <f t="shared" si="2"/>
        <v>85</v>
      </c>
      <c r="B179" s="382" t="s">
        <v>814</v>
      </c>
      <c r="C179" s="57" t="s">
        <v>159</v>
      </c>
      <c r="D179" s="57" t="s">
        <v>503</v>
      </c>
      <c r="E179" s="57" t="s">
        <v>228</v>
      </c>
      <c r="F179" s="57" t="s">
        <v>498</v>
      </c>
      <c r="G179" s="386"/>
      <c r="H179" s="350"/>
      <c r="I179" s="57"/>
      <c r="J179" s="57"/>
      <c r="K179" s="57" t="s">
        <v>499</v>
      </c>
      <c r="L179" s="350"/>
      <c r="M179" s="350"/>
      <c r="N179" s="57" t="s">
        <v>507</v>
      </c>
      <c r="O179" s="57"/>
      <c r="P179" s="109"/>
      <c r="Q179" s="109"/>
      <c r="R179" s="57"/>
      <c r="S179" s="57"/>
      <c r="T179" s="109"/>
      <c r="U179" s="57"/>
    </row>
    <row r="180">
      <c r="A180" s="355">
        <f t="shared" si="2"/>
        <v>86</v>
      </c>
      <c r="B180" s="382" t="s">
        <v>814</v>
      </c>
      <c r="C180" s="57" t="s">
        <v>168</v>
      </c>
      <c r="D180" s="57" t="s">
        <v>497</v>
      </c>
      <c r="E180" s="57" t="s">
        <v>228</v>
      </c>
      <c r="F180" s="57" t="s">
        <v>498</v>
      </c>
      <c r="G180" s="386"/>
      <c r="H180" s="350"/>
      <c r="I180" s="57"/>
      <c r="J180" s="57"/>
      <c r="K180" s="57" t="s">
        <v>499</v>
      </c>
      <c r="L180" s="350"/>
      <c r="M180" s="350"/>
      <c r="N180" s="57" t="s">
        <v>507</v>
      </c>
      <c r="O180" s="57"/>
      <c r="P180" s="109"/>
      <c r="Q180" s="109"/>
      <c r="R180" s="57"/>
      <c r="S180" s="57"/>
      <c r="T180" s="109"/>
      <c r="U180" s="57"/>
    </row>
    <row r="181">
      <c r="A181" s="355">
        <f t="shared" si="2"/>
        <v>87</v>
      </c>
      <c r="B181" s="382" t="s">
        <v>815</v>
      </c>
      <c r="C181" s="57" t="s">
        <v>143</v>
      </c>
      <c r="D181" s="57" t="s">
        <v>497</v>
      </c>
      <c r="E181" s="57" t="s">
        <v>228</v>
      </c>
      <c r="F181" s="57" t="s">
        <v>498</v>
      </c>
      <c r="G181" s="386"/>
      <c r="H181" s="350"/>
      <c r="I181" s="57"/>
      <c r="J181" s="57"/>
      <c r="K181" s="57" t="s">
        <v>499</v>
      </c>
      <c r="L181" s="350"/>
      <c r="M181" s="350"/>
      <c r="N181" s="57" t="s">
        <v>507</v>
      </c>
      <c r="O181" s="57"/>
      <c r="P181" s="109"/>
      <c r="Q181" s="109"/>
      <c r="R181" s="57"/>
      <c r="S181" s="57"/>
      <c r="T181" s="109"/>
      <c r="U181" s="57"/>
    </row>
    <row r="182">
      <c r="A182" s="355">
        <f t="shared" si="2"/>
        <v>88</v>
      </c>
      <c r="B182" s="382" t="s">
        <v>815</v>
      </c>
      <c r="C182" s="57" t="s">
        <v>168</v>
      </c>
      <c r="D182" s="57" t="s">
        <v>536</v>
      </c>
      <c r="E182" s="57" t="s">
        <v>228</v>
      </c>
      <c r="F182" s="57" t="s">
        <v>498</v>
      </c>
      <c r="G182" s="386"/>
      <c r="H182" s="350"/>
      <c r="I182" s="57"/>
      <c r="J182" s="57"/>
      <c r="K182" s="57" t="s">
        <v>499</v>
      </c>
      <c r="L182" s="350"/>
      <c r="M182" s="350"/>
      <c r="N182" s="57" t="s">
        <v>507</v>
      </c>
      <c r="O182" s="57"/>
      <c r="P182" s="109"/>
      <c r="Q182" s="109"/>
      <c r="R182" s="57"/>
      <c r="S182" s="57"/>
      <c r="T182" s="109"/>
      <c r="U182" s="57"/>
    </row>
    <row r="183">
      <c r="A183" s="355">
        <f t="shared" si="2"/>
        <v>89</v>
      </c>
      <c r="B183" s="382" t="s">
        <v>816</v>
      </c>
      <c r="C183" s="57" t="s">
        <v>136</v>
      </c>
      <c r="D183" s="57" t="s">
        <v>497</v>
      </c>
      <c r="E183" s="57" t="s">
        <v>228</v>
      </c>
      <c r="F183" s="57" t="s">
        <v>498</v>
      </c>
      <c r="G183" s="393"/>
      <c r="H183" s="350"/>
      <c r="I183" s="57"/>
      <c r="J183" s="57"/>
      <c r="K183" s="57" t="s">
        <v>499</v>
      </c>
      <c r="L183" s="350"/>
      <c r="M183" s="350"/>
      <c r="N183" s="57" t="s">
        <v>507</v>
      </c>
      <c r="O183" s="57"/>
      <c r="P183" s="109"/>
      <c r="Q183" s="109"/>
      <c r="R183" s="57"/>
      <c r="S183" s="57"/>
      <c r="T183" s="109"/>
      <c r="U183" s="57"/>
    </row>
    <row r="184">
      <c r="A184" s="355">
        <f t="shared" si="2"/>
        <v>90</v>
      </c>
      <c r="B184" s="382" t="s">
        <v>816</v>
      </c>
      <c r="C184" s="57" t="s">
        <v>208</v>
      </c>
      <c r="D184" s="57" t="s">
        <v>497</v>
      </c>
      <c r="E184" s="57" t="s">
        <v>228</v>
      </c>
      <c r="F184" s="57" t="s">
        <v>498</v>
      </c>
      <c r="G184" s="393"/>
      <c r="H184" s="350"/>
      <c r="I184" s="57"/>
      <c r="J184" s="57"/>
      <c r="K184" s="57" t="s">
        <v>499</v>
      </c>
      <c r="L184" s="350"/>
      <c r="M184" s="350"/>
      <c r="N184" s="57" t="s">
        <v>507</v>
      </c>
      <c r="O184" s="57"/>
      <c r="P184" s="109"/>
      <c r="Q184" s="109"/>
      <c r="R184" s="57"/>
      <c r="S184" s="57"/>
      <c r="T184" s="109"/>
      <c r="U184" s="57"/>
    </row>
    <row r="185">
      <c r="A185" s="355">
        <f t="shared" si="2"/>
        <v>91</v>
      </c>
      <c r="B185" s="382" t="s">
        <v>816</v>
      </c>
      <c r="C185" s="57" t="s">
        <v>104</v>
      </c>
      <c r="D185" s="57" t="s">
        <v>524</v>
      </c>
      <c r="E185" s="57" t="s">
        <v>228</v>
      </c>
      <c r="F185" s="57" t="s">
        <v>498</v>
      </c>
      <c r="G185" s="394">
        <v>7.0126842824E10</v>
      </c>
      <c r="H185" s="350">
        <v>7.0072050824E10</v>
      </c>
      <c r="I185" s="57" t="s">
        <v>529</v>
      </c>
      <c r="J185" s="57" t="s">
        <v>526</v>
      </c>
      <c r="K185" s="57" t="s">
        <v>499</v>
      </c>
      <c r="L185" s="350">
        <v>400585.0</v>
      </c>
      <c r="M185" s="350"/>
      <c r="N185" s="57" t="s">
        <v>507</v>
      </c>
      <c r="O185" s="57"/>
      <c r="P185" s="109"/>
      <c r="Q185" s="109"/>
      <c r="R185" s="57"/>
      <c r="S185" s="57"/>
      <c r="T185" s="109"/>
      <c r="U185" s="57"/>
    </row>
    <row r="186">
      <c r="A186" s="355">
        <f t="shared" si="2"/>
        <v>92</v>
      </c>
      <c r="B186" s="382" t="s">
        <v>817</v>
      </c>
      <c r="C186" s="57" t="s">
        <v>57</v>
      </c>
      <c r="D186" s="57" t="s">
        <v>503</v>
      </c>
      <c r="E186" s="57" t="s">
        <v>228</v>
      </c>
      <c r="F186" s="57" t="s">
        <v>498</v>
      </c>
      <c r="G186" s="385">
        <v>7.0791305124E10</v>
      </c>
      <c r="H186" s="350">
        <v>7.0798215124E10</v>
      </c>
      <c r="I186" s="57" t="s">
        <v>539</v>
      </c>
      <c r="J186" s="57" t="s">
        <v>537</v>
      </c>
      <c r="K186" s="57" t="s">
        <v>499</v>
      </c>
      <c r="L186" s="350">
        <v>610569.0</v>
      </c>
      <c r="M186" s="350"/>
      <c r="N186" s="57" t="s">
        <v>507</v>
      </c>
      <c r="O186" s="57"/>
      <c r="P186" s="109"/>
      <c r="Q186" s="109"/>
      <c r="R186" s="57"/>
      <c r="S186" s="57"/>
      <c r="T186" s="109"/>
      <c r="U186" s="57"/>
    </row>
    <row r="187">
      <c r="A187" s="355">
        <f t="shared" si="2"/>
        <v>93</v>
      </c>
      <c r="B187" s="387">
        <v>45659.0</v>
      </c>
      <c r="C187" s="57" t="s">
        <v>57</v>
      </c>
      <c r="D187" s="57" t="s">
        <v>503</v>
      </c>
      <c r="E187" s="57" t="s">
        <v>512</v>
      </c>
      <c r="F187" s="57" t="s">
        <v>498</v>
      </c>
      <c r="G187" s="385">
        <v>7.0764365124E10</v>
      </c>
      <c r="H187" s="350">
        <v>7.0755195124E10</v>
      </c>
      <c r="I187" s="57"/>
      <c r="J187" s="57"/>
      <c r="K187" s="57" t="s">
        <v>518</v>
      </c>
      <c r="L187" s="350"/>
      <c r="M187" s="350"/>
      <c r="N187" s="57"/>
      <c r="O187" s="57"/>
      <c r="P187" s="109"/>
      <c r="Q187" s="109"/>
      <c r="R187" s="57"/>
      <c r="S187" s="57"/>
      <c r="T187" s="109"/>
      <c r="U187" s="57"/>
    </row>
    <row r="188">
      <c r="A188" s="355">
        <f t="shared" si="2"/>
        <v>94</v>
      </c>
      <c r="B188" s="382" t="s">
        <v>817</v>
      </c>
      <c r="C188" s="57" t="s">
        <v>93</v>
      </c>
      <c r="D188" s="57" t="s">
        <v>497</v>
      </c>
      <c r="E188" s="57" t="s">
        <v>228</v>
      </c>
      <c r="F188" s="57" t="s">
        <v>498</v>
      </c>
      <c r="G188" s="386"/>
      <c r="H188" s="350"/>
      <c r="I188" s="57"/>
      <c r="J188" s="57"/>
      <c r="K188" s="57" t="s">
        <v>499</v>
      </c>
      <c r="L188" s="350"/>
      <c r="M188" s="350"/>
      <c r="N188" s="57" t="s">
        <v>507</v>
      </c>
      <c r="O188" s="57"/>
      <c r="P188" s="109"/>
      <c r="Q188" s="109"/>
      <c r="R188" s="57"/>
      <c r="S188" s="57"/>
      <c r="T188" s="109"/>
      <c r="U188" s="57"/>
    </row>
    <row r="189">
      <c r="A189" s="355">
        <f t="shared" si="2"/>
        <v>95</v>
      </c>
      <c r="B189" s="382" t="s">
        <v>818</v>
      </c>
      <c r="C189" s="57" t="s">
        <v>136</v>
      </c>
      <c r="D189" s="57" t="s">
        <v>503</v>
      </c>
      <c r="E189" s="57" t="s">
        <v>228</v>
      </c>
      <c r="F189" s="57" t="s">
        <v>498</v>
      </c>
      <c r="G189" s="385">
        <v>7.0764365124E10</v>
      </c>
      <c r="H189" s="350">
        <v>7.0755195124E10</v>
      </c>
      <c r="I189" s="57"/>
      <c r="J189" s="57"/>
      <c r="K189" s="57" t="s">
        <v>499</v>
      </c>
      <c r="L189" s="350"/>
      <c r="M189" s="350"/>
      <c r="N189" s="57" t="s">
        <v>507</v>
      </c>
      <c r="O189" s="57"/>
      <c r="P189" s="109"/>
      <c r="Q189" s="109"/>
      <c r="R189" s="57"/>
      <c r="S189" s="57"/>
      <c r="T189" s="109"/>
      <c r="U189" s="57"/>
    </row>
    <row r="190">
      <c r="A190" s="355">
        <f t="shared" si="2"/>
        <v>96</v>
      </c>
      <c r="B190" s="387">
        <v>45665.0</v>
      </c>
      <c r="C190" s="57" t="s">
        <v>147</v>
      </c>
      <c r="D190" s="57" t="s">
        <v>521</v>
      </c>
      <c r="E190" s="57" t="s">
        <v>228</v>
      </c>
      <c r="F190" s="57" t="s">
        <v>498</v>
      </c>
      <c r="G190" s="385" t="s">
        <v>819</v>
      </c>
      <c r="H190" s="57" t="s">
        <v>820</v>
      </c>
      <c r="I190" s="57" t="s">
        <v>526</v>
      </c>
      <c r="J190" s="57" t="s">
        <v>529</v>
      </c>
      <c r="K190" s="57" t="s">
        <v>525</v>
      </c>
      <c r="L190" s="57">
        <v>796446.0</v>
      </c>
      <c r="M190" s="350"/>
      <c r="N190" s="57" t="s">
        <v>507</v>
      </c>
      <c r="O190" s="109"/>
      <c r="P190" s="109"/>
      <c r="Q190" s="109"/>
      <c r="R190" s="109"/>
      <c r="S190" s="109"/>
      <c r="T190" s="109"/>
      <c r="U190" s="109"/>
    </row>
    <row r="191">
      <c r="A191" s="355">
        <f t="shared" si="2"/>
        <v>97</v>
      </c>
      <c r="B191" s="387">
        <v>45665.0</v>
      </c>
      <c r="C191" s="57" t="s">
        <v>147</v>
      </c>
      <c r="D191" s="57" t="s">
        <v>521</v>
      </c>
      <c r="E191" s="57" t="s">
        <v>228</v>
      </c>
      <c r="F191" s="57" t="s">
        <v>498</v>
      </c>
      <c r="G191" s="385" t="s">
        <v>821</v>
      </c>
      <c r="H191" s="57" t="s">
        <v>822</v>
      </c>
      <c r="I191" s="57" t="s">
        <v>537</v>
      </c>
      <c r="J191" s="57" t="s">
        <v>539</v>
      </c>
      <c r="K191" s="57" t="s">
        <v>525</v>
      </c>
      <c r="L191" s="57">
        <v>796446.0</v>
      </c>
      <c r="M191" s="350"/>
      <c r="N191" s="57" t="s">
        <v>507</v>
      </c>
      <c r="O191" s="109"/>
      <c r="P191" s="109"/>
      <c r="Q191" s="109"/>
      <c r="R191" s="109"/>
      <c r="S191" s="109"/>
      <c r="T191" s="109"/>
      <c r="U191" s="109"/>
    </row>
    <row r="192">
      <c r="A192" s="355">
        <f t="shared" si="2"/>
        <v>98</v>
      </c>
      <c r="B192" s="391" t="s">
        <v>823</v>
      </c>
      <c r="C192" s="57" t="s">
        <v>160</v>
      </c>
      <c r="D192" s="57" t="s">
        <v>497</v>
      </c>
      <c r="E192" s="57" t="s">
        <v>228</v>
      </c>
      <c r="F192" s="57" t="s">
        <v>498</v>
      </c>
      <c r="G192" s="385">
        <v>7.0586030225E10</v>
      </c>
      <c r="H192" s="57">
        <v>7.0791000225E10</v>
      </c>
      <c r="I192" s="57" t="s">
        <v>496</v>
      </c>
      <c r="J192" s="57" t="s">
        <v>502</v>
      </c>
      <c r="K192" s="57" t="s">
        <v>499</v>
      </c>
      <c r="L192" s="57"/>
      <c r="M192" s="350"/>
      <c r="N192" s="57" t="s">
        <v>507</v>
      </c>
      <c r="O192" s="109"/>
      <c r="P192" s="109"/>
      <c r="Q192" s="109"/>
      <c r="R192" s="109"/>
      <c r="S192" s="109"/>
      <c r="T192" s="109"/>
      <c r="U192" s="109"/>
    </row>
    <row r="193">
      <c r="A193" s="355">
        <f t="shared" si="2"/>
        <v>99</v>
      </c>
      <c r="B193" s="387">
        <v>45682.0</v>
      </c>
      <c r="C193" s="57" t="s">
        <v>160</v>
      </c>
      <c r="D193" s="57" t="s">
        <v>511</v>
      </c>
      <c r="E193" s="57" t="s">
        <v>512</v>
      </c>
      <c r="F193" s="57" t="s">
        <v>505</v>
      </c>
      <c r="G193" s="385" t="s">
        <v>736</v>
      </c>
      <c r="H193" s="100"/>
      <c r="I193" s="57" t="s">
        <v>510</v>
      </c>
      <c r="J193" s="109"/>
      <c r="K193" s="57"/>
      <c r="L193" s="57">
        <v>770419.0</v>
      </c>
      <c r="M193" s="350"/>
      <c r="N193" s="57"/>
      <c r="O193" s="109"/>
      <c r="P193" s="109"/>
      <c r="Q193" s="109"/>
      <c r="R193" s="109"/>
      <c r="S193" s="109"/>
      <c r="T193" s="109"/>
      <c r="U193" s="109"/>
    </row>
    <row r="194">
      <c r="A194" s="355">
        <f t="shared" si="2"/>
        <v>100</v>
      </c>
      <c r="B194" s="387">
        <v>45682.0</v>
      </c>
      <c r="C194" s="57" t="s">
        <v>160</v>
      </c>
      <c r="D194" s="57" t="s">
        <v>497</v>
      </c>
      <c r="E194" s="57" t="s">
        <v>228</v>
      </c>
      <c r="F194" s="57" t="s">
        <v>505</v>
      </c>
      <c r="G194" s="386"/>
      <c r="H194" s="57">
        <v>7.0331634823E10</v>
      </c>
      <c r="I194" s="109"/>
      <c r="J194" s="57" t="s">
        <v>515</v>
      </c>
      <c r="K194" s="57"/>
      <c r="L194" s="57">
        <v>770419.0</v>
      </c>
      <c r="M194" s="350"/>
      <c r="N194" s="57"/>
      <c r="O194" s="109"/>
      <c r="P194" s="109"/>
      <c r="Q194" s="109"/>
      <c r="R194" s="109"/>
      <c r="S194" s="109"/>
      <c r="T194" s="109"/>
      <c r="U194" s="109"/>
    </row>
    <row r="195">
      <c r="A195" s="355">
        <f t="shared" si="2"/>
        <v>101</v>
      </c>
      <c r="B195" s="387">
        <v>45683.0</v>
      </c>
      <c r="C195" s="57" t="s">
        <v>160</v>
      </c>
      <c r="D195" s="57" t="s">
        <v>503</v>
      </c>
      <c r="E195" s="57" t="s">
        <v>228</v>
      </c>
      <c r="F195" s="57" t="s">
        <v>498</v>
      </c>
      <c r="G195" s="385">
        <v>7.0083284624E10</v>
      </c>
      <c r="H195" s="57">
        <v>7.0720295124E10</v>
      </c>
      <c r="I195" s="57" t="s">
        <v>535</v>
      </c>
      <c r="J195" s="57" t="s">
        <v>532</v>
      </c>
      <c r="K195" s="57" t="s">
        <v>499</v>
      </c>
      <c r="L195" s="57">
        <v>770419.0</v>
      </c>
      <c r="M195" s="350"/>
      <c r="N195" s="57" t="s">
        <v>507</v>
      </c>
      <c r="O195" s="109"/>
      <c r="P195" s="109"/>
      <c r="Q195" s="109"/>
      <c r="R195" s="109"/>
      <c r="S195" s="109"/>
      <c r="T195" s="109"/>
      <c r="U195" s="109"/>
    </row>
    <row r="196">
      <c r="A196" s="355">
        <f t="shared" si="2"/>
        <v>102</v>
      </c>
      <c r="B196" s="382" t="s">
        <v>824</v>
      </c>
      <c r="C196" s="57" t="s">
        <v>159</v>
      </c>
      <c r="D196" s="57" t="s">
        <v>503</v>
      </c>
      <c r="E196" s="57" t="s">
        <v>228</v>
      </c>
      <c r="F196" s="57" t="s">
        <v>498</v>
      </c>
      <c r="G196" s="386"/>
      <c r="H196" s="100"/>
      <c r="I196" s="109"/>
      <c r="J196" s="109"/>
      <c r="K196" s="57" t="s">
        <v>499</v>
      </c>
      <c r="L196" s="57"/>
      <c r="M196" s="350"/>
      <c r="N196" s="57" t="s">
        <v>507</v>
      </c>
      <c r="O196" s="109"/>
      <c r="P196" s="109"/>
      <c r="Q196" s="109"/>
      <c r="R196" s="109"/>
      <c r="S196" s="109"/>
      <c r="T196" s="109"/>
      <c r="U196" s="109"/>
    </row>
    <row r="197">
      <c r="A197" s="355">
        <f t="shared" si="2"/>
        <v>103</v>
      </c>
      <c r="B197" s="382" t="s">
        <v>824</v>
      </c>
      <c r="C197" s="57" t="s">
        <v>143</v>
      </c>
      <c r="D197" s="57" t="s">
        <v>503</v>
      </c>
      <c r="E197" s="57" t="s">
        <v>228</v>
      </c>
      <c r="F197" s="57" t="s">
        <v>498</v>
      </c>
      <c r="G197" s="386"/>
      <c r="H197" s="100"/>
      <c r="I197" s="109"/>
      <c r="J197" s="109"/>
      <c r="K197" s="57" t="s">
        <v>499</v>
      </c>
      <c r="L197" s="57"/>
      <c r="M197" s="350"/>
      <c r="N197" s="57" t="s">
        <v>507</v>
      </c>
      <c r="O197" s="109"/>
      <c r="P197" s="109"/>
      <c r="Q197" s="109"/>
      <c r="R197" s="109"/>
      <c r="S197" s="109"/>
      <c r="T197" s="109"/>
      <c r="U197" s="109"/>
    </row>
    <row r="198">
      <c r="A198" s="355">
        <f t="shared" si="2"/>
        <v>104</v>
      </c>
      <c r="B198" s="387">
        <v>45688.0</v>
      </c>
      <c r="C198" s="57" t="s">
        <v>57</v>
      </c>
      <c r="D198" s="57" t="s">
        <v>503</v>
      </c>
      <c r="E198" s="57" t="s">
        <v>512</v>
      </c>
      <c r="F198" s="57" t="s">
        <v>505</v>
      </c>
      <c r="G198" s="385">
        <v>7.0252940324E10</v>
      </c>
      <c r="H198" s="350"/>
      <c r="I198" s="57"/>
      <c r="J198" s="57"/>
      <c r="K198" s="57" t="s">
        <v>518</v>
      </c>
      <c r="L198" s="350"/>
      <c r="M198" s="350"/>
      <c r="N198" s="57"/>
      <c r="O198" s="57"/>
      <c r="P198" s="109"/>
      <c r="Q198" s="109"/>
      <c r="R198" s="57"/>
      <c r="S198" s="57"/>
      <c r="T198" s="109"/>
      <c r="U198" s="57"/>
    </row>
    <row r="199">
      <c r="A199" s="355">
        <f t="shared" si="2"/>
        <v>105</v>
      </c>
      <c r="B199" s="387">
        <v>45688.0</v>
      </c>
      <c r="C199" s="57" t="s">
        <v>57</v>
      </c>
      <c r="D199" s="57" t="s">
        <v>511</v>
      </c>
      <c r="E199" s="57" t="s">
        <v>228</v>
      </c>
      <c r="F199" s="57" t="s">
        <v>505</v>
      </c>
      <c r="G199" s="386"/>
      <c r="H199" s="350">
        <v>4.2049851124E10</v>
      </c>
      <c r="I199" s="57"/>
      <c r="J199" s="57"/>
      <c r="K199" s="57"/>
      <c r="L199" s="350"/>
      <c r="M199" s="350"/>
      <c r="N199" s="57"/>
      <c r="O199" s="57"/>
      <c r="P199" s="109"/>
      <c r="Q199" s="109"/>
      <c r="R199" s="57"/>
      <c r="S199" s="57"/>
      <c r="T199" s="109"/>
      <c r="U199" s="57"/>
    </row>
    <row r="200">
      <c r="A200" s="355">
        <f t="shared" si="2"/>
        <v>106</v>
      </c>
      <c r="B200" s="382" t="s">
        <v>825</v>
      </c>
      <c r="C200" s="57" t="s">
        <v>208</v>
      </c>
      <c r="D200" s="57" t="s">
        <v>503</v>
      </c>
      <c r="E200" s="57" t="s">
        <v>228</v>
      </c>
      <c r="F200" s="57" t="s">
        <v>498</v>
      </c>
      <c r="G200" s="386"/>
      <c r="H200" s="350"/>
      <c r="I200" s="57"/>
      <c r="J200" s="57"/>
      <c r="K200" s="57" t="s">
        <v>499</v>
      </c>
      <c r="L200" s="350"/>
      <c r="M200" s="350"/>
      <c r="N200" s="57" t="s">
        <v>507</v>
      </c>
      <c r="O200" s="57"/>
      <c r="P200" s="109"/>
      <c r="Q200" s="109"/>
      <c r="R200" s="57"/>
      <c r="S200" s="57"/>
      <c r="T200" s="109"/>
      <c r="U200" s="57"/>
    </row>
    <row r="201">
      <c r="A201" s="355">
        <f t="shared" si="2"/>
        <v>107</v>
      </c>
      <c r="B201" s="382" t="s">
        <v>826</v>
      </c>
      <c r="C201" s="57" t="s">
        <v>132</v>
      </c>
      <c r="D201" s="57" t="s">
        <v>497</v>
      </c>
      <c r="E201" s="57" t="s">
        <v>228</v>
      </c>
      <c r="F201" s="57" t="s">
        <v>498</v>
      </c>
      <c r="G201" s="385">
        <v>7.0146830425E10</v>
      </c>
      <c r="H201" s="350">
        <v>7.0046440425E10</v>
      </c>
      <c r="I201" s="57"/>
      <c r="J201" s="57"/>
      <c r="K201" s="57" t="s">
        <v>499</v>
      </c>
      <c r="L201" s="350"/>
      <c r="M201" s="350"/>
      <c r="N201" s="57" t="s">
        <v>507</v>
      </c>
      <c r="O201" s="57"/>
      <c r="P201" s="109"/>
      <c r="Q201" s="109"/>
      <c r="R201" s="57"/>
      <c r="S201" s="57"/>
      <c r="T201" s="109"/>
      <c r="U201" s="57"/>
    </row>
    <row r="202">
      <c r="A202" s="355">
        <f t="shared" si="2"/>
        <v>108</v>
      </c>
      <c r="B202" s="382" t="s">
        <v>827</v>
      </c>
      <c r="C202" s="57" t="s">
        <v>208</v>
      </c>
      <c r="D202" s="57" t="s">
        <v>503</v>
      </c>
      <c r="E202" s="57" t="s">
        <v>228</v>
      </c>
      <c r="F202" s="57" t="s">
        <v>498</v>
      </c>
      <c r="G202" s="385">
        <v>7.0861100325E10</v>
      </c>
      <c r="H202" s="350">
        <v>7.0085500425E10</v>
      </c>
      <c r="I202" s="57"/>
      <c r="J202" s="57"/>
      <c r="K202" s="57" t="s">
        <v>499</v>
      </c>
      <c r="L202" s="350"/>
      <c r="M202" s="350"/>
      <c r="N202" s="57" t="s">
        <v>507</v>
      </c>
      <c r="O202" s="57"/>
      <c r="P202" s="109"/>
      <c r="Q202" s="109"/>
      <c r="R202" s="57"/>
      <c r="S202" s="57"/>
      <c r="T202" s="109"/>
      <c r="U202" s="57"/>
    </row>
    <row r="203">
      <c r="A203" s="355">
        <f t="shared" si="2"/>
        <v>109</v>
      </c>
      <c r="B203" s="387">
        <v>45695.0</v>
      </c>
      <c r="C203" s="57" t="s">
        <v>160</v>
      </c>
      <c r="D203" s="57" t="s">
        <v>497</v>
      </c>
      <c r="E203" s="57" t="s">
        <v>228</v>
      </c>
      <c r="F203" s="57" t="s">
        <v>498</v>
      </c>
      <c r="G203" s="385">
        <v>7.0791000225E10</v>
      </c>
      <c r="H203" s="350">
        <v>7.0586030225E10</v>
      </c>
      <c r="I203" s="57"/>
      <c r="J203" s="57"/>
      <c r="K203" s="57" t="s">
        <v>499</v>
      </c>
      <c r="L203" s="350"/>
      <c r="M203" s="350"/>
      <c r="N203" s="57" t="s">
        <v>507</v>
      </c>
      <c r="O203" s="57"/>
      <c r="P203" s="109"/>
      <c r="Q203" s="109"/>
      <c r="R203" s="57"/>
      <c r="S203" s="57"/>
      <c r="T203" s="109"/>
      <c r="U203" s="57"/>
    </row>
    <row r="204">
      <c r="A204" s="355">
        <f t="shared" si="2"/>
        <v>110</v>
      </c>
      <c r="B204" s="382" t="s">
        <v>828</v>
      </c>
      <c r="C204" s="57" t="s">
        <v>168</v>
      </c>
      <c r="D204" s="57" t="s">
        <v>503</v>
      </c>
      <c r="E204" s="57" t="s">
        <v>228</v>
      </c>
      <c r="F204" s="57" t="s">
        <v>498</v>
      </c>
      <c r="G204" s="386"/>
      <c r="H204" s="395"/>
      <c r="I204" s="57"/>
      <c r="J204" s="57"/>
      <c r="K204" s="57" t="s">
        <v>499</v>
      </c>
      <c r="L204" s="350"/>
      <c r="M204" s="350"/>
      <c r="N204" s="57" t="s">
        <v>507</v>
      </c>
      <c r="O204" s="57"/>
      <c r="P204" s="109"/>
      <c r="Q204" s="109"/>
      <c r="R204" s="57"/>
      <c r="S204" s="57"/>
      <c r="T204" s="109"/>
      <c r="U204" s="57"/>
    </row>
    <row r="205">
      <c r="A205" s="355">
        <f t="shared" si="2"/>
        <v>111</v>
      </c>
      <c r="B205" s="389" t="s">
        <v>829</v>
      </c>
      <c r="C205" s="57" t="s">
        <v>136</v>
      </c>
      <c r="D205" s="57" t="s">
        <v>503</v>
      </c>
      <c r="E205" s="57" t="s">
        <v>228</v>
      </c>
      <c r="F205" s="57" t="s">
        <v>498</v>
      </c>
      <c r="G205" s="386"/>
      <c r="H205" s="395"/>
      <c r="I205" s="57"/>
      <c r="J205" s="57"/>
      <c r="K205" s="57" t="s">
        <v>499</v>
      </c>
      <c r="L205" s="350"/>
      <c r="M205" s="350"/>
      <c r="N205" s="57" t="s">
        <v>5</v>
      </c>
      <c r="O205" s="57"/>
      <c r="P205" s="109"/>
      <c r="Q205" s="109"/>
      <c r="R205" s="57"/>
      <c r="S205" s="57"/>
      <c r="T205" s="109"/>
      <c r="U205" s="57"/>
    </row>
    <row r="206">
      <c r="A206" s="355">
        <f t="shared" si="2"/>
        <v>112</v>
      </c>
      <c r="B206" s="389" t="s">
        <v>830</v>
      </c>
      <c r="C206" s="57" t="s">
        <v>57</v>
      </c>
      <c r="D206" s="57" t="s">
        <v>503</v>
      </c>
      <c r="E206" s="57" t="s">
        <v>228</v>
      </c>
      <c r="F206" s="57" t="s">
        <v>498</v>
      </c>
      <c r="G206" s="385">
        <v>7.0549620825E10</v>
      </c>
      <c r="H206" s="350">
        <v>7.0554150825E10</v>
      </c>
      <c r="I206" s="57" t="s">
        <v>526</v>
      </c>
      <c r="J206" s="57" t="s">
        <v>529</v>
      </c>
      <c r="K206" s="57" t="s">
        <v>499</v>
      </c>
      <c r="L206" s="350">
        <v>630188.0</v>
      </c>
      <c r="M206" s="350"/>
      <c r="N206" s="57" t="s">
        <v>5</v>
      </c>
      <c r="O206" s="57"/>
      <c r="P206" s="109"/>
      <c r="Q206" s="109"/>
      <c r="R206" s="57"/>
      <c r="S206" s="57"/>
      <c r="T206" s="109"/>
      <c r="U206" s="57"/>
    </row>
    <row r="207">
      <c r="A207" s="355">
        <f t="shared" si="2"/>
        <v>113</v>
      </c>
      <c r="B207" s="387">
        <v>45720.0</v>
      </c>
      <c r="C207" s="57" t="s">
        <v>136</v>
      </c>
      <c r="D207" s="57" t="s">
        <v>503</v>
      </c>
      <c r="E207" s="57" t="s">
        <v>228</v>
      </c>
      <c r="F207" s="57" t="s">
        <v>505</v>
      </c>
      <c r="G207" s="319">
        <v>7.0603740825E10</v>
      </c>
      <c r="H207" s="350"/>
      <c r="I207" s="57"/>
      <c r="J207" s="57"/>
      <c r="K207" s="57" t="s">
        <v>499</v>
      </c>
      <c r="L207" s="350">
        <v>722129.0</v>
      </c>
      <c r="M207" s="350"/>
      <c r="N207" s="57" t="s">
        <v>507</v>
      </c>
      <c r="O207" s="57"/>
      <c r="P207" s="109"/>
      <c r="Q207" s="109"/>
      <c r="R207" s="57"/>
      <c r="S207" s="57"/>
      <c r="T207" s="109"/>
      <c r="U207" s="57"/>
    </row>
    <row r="208">
      <c r="A208" s="355">
        <f t="shared" si="2"/>
        <v>114</v>
      </c>
      <c r="B208" s="396">
        <v>45725.0</v>
      </c>
      <c r="C208" s="57" t="s">
        <v>159</v>
      </c>
      <c r="D208" s="57" t="s">
        <v>497</v>
      </c>
      <c r="E208" s="57" t="s">
        <v>228</v>
      </c>
      <c r="F208" s="57" t="s">
        <v>498</v>
      </c>
      <c r="G208" s="385">
        <v>7.0557540825E10</v>
      </c>
      <c r="H208" s="350">
        <v>7.0219360825E10</v>
      </c>
      <c r="I208" s="57" t="s">
        <v>496</v>
      </c>
      <c r="J208" s="57" t="s">
        <v>502</v>
      </c>
      <c r="K208" s="57" t="s">
        <v>499</v>
      </c>
      <c r="L208" s="350">
        <v>189395.0</v>
      </c>
      <c r="M208" s="350"/>
      <c r="N208" s="57" t="s">
        <v>5</v>
      </c>
      <c r="O208" s="57"/>
      <c r="P208" s="109"/>
      <c r="Q208" s="109"/>
      <c r="R208" s="57"/>
      <c r="S208" s="57"/>
      <c r="T208" s="109"/>
      <c r="U208" s="57"/>
    </row>
    <row r="209">
      <c r="A209" s="355">
        <f t="shared" si="2"/>
        <v>115</v>
      </c>
      <c r="B209" s="391" t="s">
        <v>831</v>
      </c>
      <c r="C209" s="57" t="s">
        <v>147</v>
      </c>
      <c r="D209" s="57" t="s">
        <v>503</v>
      </c>
      <c r="E209" s="57" t="s">
        <v>228</v>
      </c>
      <c r="F209" s="57" t="s">
        <v>498</v>
      </c>
      <c r="G209" s="385">
        <v>7.0650370925E10</v>
      </c>
      <c r="H209" s="350">
        <v>7.0827290825E10</v>
      </c>
      <c r="I209" s="57" t="s">
        <v>543</v>
      </c>
      <c r="J209" s="57" t="s">
        <v>541</v>
      </c>
      <c r="K209" s="57" t="s">
        <v>499</v>
      </c>
      <c r="L209" s="350">
        <v>812185.0</v>
      </c>
      <c r="M209" s="350"/>
      <c r="N209" s="57" t="s">
        <v>507</v>
      </c>
      <c r="O209" s="57"/>
      <c r="P209" s="109"/>
      <c r="Q209" s="109"/>
      <c r="R209" s="57"/>
      <c r="S209" s="57"/>
      <c r="T209" s="109"/>
      <c r="U209" s="57"/>
    </row>
    <row r="210">
      <c r="A210" s="355">
        <f t="shared" si="2"/>
        <v>116</v>
      </c>
      <c r="B210" s="387">
        <v>45725.0</v>
      </c>
      <c r="C210" s="57" t="s">
        <v>147</v>
      </c>
      <c r="D210" s="57" t="s">
        <v>503</v>
      </c>
      <c r="E210" s="57" t="s">
        <v>228</v>
      </c>
      <c r="F210" s="57" t="s">
        <v>498</v>
      </c>
      <c r="G210" s="385">
        <v>7.0686590925E10</v>
      </c>
      <c r="H210" s="350">
        <v>7.0640700925E10</v>
      </c>
      <c r="I210" s="57" t="s">
        <v>532</v>
      </c>
      <c r="J210" s="57" t="s">
        <v>535</v>
      </c>
      <c r="K210" s="57" t="s">
        <v>499</v>
      </c>
      <c r="L210" s="57">
        <v>812185.0</v>
      </c>
      <c r="M210" s="350"/>
      <c r="N210" s="57" t="s">
        <v>507</v>
      </c>
      <c r="O210" s="109"/>
      <c r="P210" s="109"/>
      <c r="Q210" s="109"/>
      <c r="R210" s="109"/>
      <c r="S210" s="109"/>
      <c r="T210" s="109"/>
      <c r="U210" s="109"/>
    </row>
    <row r="211">
      <c r="A211" s="355">
        <f t="shared" si="2"/>
        <v>117</v>
      </c>
      <c r="B211" s="387">
        <v>45726.0</v>
      </c>
      <c r="C211" s="57" t="s">
        <v>159</v>
      </c>
      <c r="D211" s="57" t="s">
        <v>503</v>
      </c>
      <c r="E211" s="57" t="s">
        <v>228</v>
      </c>
      <c r="F211" s="57" t="s">
        <v>498</v>
      </c>
      <c r="G211" s="319">
        <v>7.0557540825E10</v>
      </c>
      <c r="H211" s="319">
        <v>7.0219360825E10</v>
      </c>
      <c r="I211" s="57"/>
      <c r="J211" s="57"/>
      <c r="K211" s="57" t="s">
        <v>499</v>
      </c>
      <c r="L211" s="350"/>
      <c r="M211" s="350"/>
      <c r="N211" s="57" t="s">
        <v>507</v>
      </c>
      <c r="O211" s="57"/>
      <c r="P211" s="109"/>
      <c r="Q211" s="109"/>
      <c r="R211" s="57"/>
      <c r="S211" s="57"/>
      <c r="T211" s="109"/>
      <c r="U211" s="57"/>
    </row>
    <row r="212">
      <c r="A212" s="355">
        <f t="shared" si="2"/>
        <v>118</v>
      </c>
      <c r="B212" s="382" t="s">
        <v>832</v>
      </c>
      <c r="C212" s="57" t="s">
        <v>120</v>
      </c>
      <c r="D212" s="57" t="s">
        <v>503</v>
      </c>
      <c r="E212" s="57" t="s">
        <v>228</v>
      </c>
      <c r="F212" s="57" t="s">
        <v>498</v>
      </c>
      <c r="G212" s="385">
        <v>7.0126111025E10</v>
      </c>
      <c r="H212" s="350">
        <v>7.0556310825E10</v>
      </c>
      <c r="I212" s="57" t="s">
        <v>496</v>
      </c>
      <c r="J212" s="57" t="s">
        <v>502</v>
      </c>
      <c r="K212" s="57" t="s">
        <v>499</v>
      </c>
      <c r="L212" s="350">
        <v>681506.0</v>
      </c>
      <c r="M212" s="350"/>
      <c r="N212" s="57" t="s">
        <v>507</v>
      </c>
      <c r="O212" s="57"/>
      <c r="P212" s="109"/>
      <c r="Q212" s="109"/>
      <c r="R212" s="57"/>
      <c r="S212" s="57"/>
      <c r="T212" s="109"/>
      <c r="U212" s="57"/>
    </row>
    <row r="213">
      <c r="A213" s="355">
        <f t="shared" si="2"/>
        <v>119</v>
      </c>
      <c r="B213" s="387">
        <v>45729.0</v>
      </c>
      <c r="C213" s="57" t="s">
        <v>93</v>
      </c>
      <c r="D213" s="57" t="s">
        <v>503</v>
      </c>
      <c r="E213" s="57" t="s">
        <v>228</v>
      </c>
      <c r="F213" s="57" t="s">
        <v>498</v>
      </c>
      <c r="G213" s="319">
        <v>7.0634410325E10</v>
      </c>
      <c r="H213" s="319">
        <v>7.0842815124E10</v>
      </c>
      <c r="I213" s="57"/>
      <c r="J213" s="57"/>
      <c r="K213" s="57" t="s">
        <v>506</v>
      </c>
      <c r="L213" s="57"/>
      <c r="M213" s="350"/>
      <c r="N213" s="57" t="s">
        <v>5</v>
      </c>
      <c r="O213" s="109"/>
      <c r="P213" s="109"/>
      <c r="Q213" s="109"/>
      <c r="R213" s="109"/>
      <c r="S213" s="109"/>
      <c r="T213" s="109"/>
      <c r="U213" s="109"/>
    </row>
    <row r="214">
      <c r="A214" s="355">
        <f t="shared" si="2"/>
        <v>120</v>
      </c>
      <c r="B214" s="387">
        <v>45730.0</v>
      </c>
      <c r="C214" s="57" t="s">
        <v>160</v>
      </c>
      <c r="D214" s="57" t="s">
        <v>503</v>
      </c>
      <c r="E214" s="57" t="s">
        <v>228</v>
      </c>
      <c r="F214" s="57" t="s">
        <v>498</v>
      </c>
      <c r="G214" s="319">
        <v>7.0842985124E10</v>
      </c>
      <c r="H214" s="319">
        <v>7.0222270225E10</v>
      </c>
      <c r="I214" s="57" t="s">
        <v>526</v>
      </c>
      <c r="J214" s="57" t="s">
        <v>529</v>
      </c>
      <c r="K214" s="57" t="s">
        <v>506</v>
      </c>
      <c r="L214" s="57">
        <v>784240.0</v>
      </c>
      <c r="M214" s="350"/>
      <c r="N214" s="57" t="s">
        <v>507</v>
      </c>
      <c r="O214" s="109"/>
      <c r="P214" s="109"/>
      <c r="Q214" s="109"/>
      <c r="R214" s="109"/>
      <c r="S214" s="109"/>
      <c r="T214" s="109"/>
      <c r="U214" s="109"/>
    </row>
    <row r="215">
      <c r="A215" s="355">
        <f t="shared" si="2"/>
        <v>121</v>
      </c>
      <c r="B215" s="387">
        <v>45731.0</v>
      </c>
      <c r="C215" s="57" t="s">
        <v>143</v>
      </c>
      <c r="D215" s="57" t="s">
        <v>503</v>
      </c>
      <c r="E215" s="57" t="s">
        <v>228</v>
      </c>
      <c r="F215" s="57" t="s">
        <v>498</v>
      </c>
      <c r="G215" s="319">
        <v>7.0028380725E10</v>
      </c>
      <c r="H215" s="319">
        <v>7.0240120825E10</v>
      </c>
      <c r="I215" s="57"/>
      <c r="J215" s="57"/>
      <c r="K215" s="57" t="s">
        <v>506</v>
      </c>
      <c r="L215" s="57"/>
      <c r="M215" s="350"/>
      <c r="N215" s="57" t="s">
        <v>507</v>
      </c>
      <c r="O215" s="109"/>
      <c r="P215" s="109"/>
      <c r="Q215" s="109"/>
      <c r="R215" s="109"/>
      <c r="S215" s="109"/>
      <c r="T215" s="109"/>
      <c r="U215" s="109"/>
    </row>
    <row r="216">
      <c r="A216" s="355">
        <f t="shared" si="2"/>
        <v>122</v>
      </c>
      <c r="B216" s="387">
        <v>45734.0</v>
      </c>
      <c r="C216" s="57" t="s">
        <v>121</v>
      </c>
      <c r="D216" s="57" t="s">
        <v>497</v>
      </c>
      <c r="E216" s="57" t="s">
        <v>228</v>
      </c>
      <c r="F216" s="57" t="s">
        <v>498</v>
      </c>
      <c r="G216" s="397">
        <v>7.0789233024E10</v>
      </c>
      <c r="H216" s="397">
        <v>7.0755003024E10</v>
      </c>
      <c r="I216" s="57" t="s">
        <v>529</v>
      </c>
      <c r="J216" s="57" t="s">
        <v>526</v>
      </c>
      <c r="K216" s="57" t="s">
        <v>499</v>
      </c>
      <c r="L216" s="57">
        <v>11029.0</v>
      </c>
      <c r="M216" s="350"/>
      <c r="N216" s="57" t="s">
        <v>507</v>
      </c>
      <c r="O216" s="109"/>
      <c r="P216" s="109"/>
      <c r="Q216" s="109"/>
      <c r="R216" s="109"/>
      <c r="S216" s="109"/>
      <c r="T216" s="109"/>
      <c r="U216" s="109"/>
    </row>
    <row r="217">
      <c r="A217" s="355">
        <f t="shared" si="2"/>
        <v>123</v>
      </c>
      <c r="B217" s="387">
        <v>45734.0</v>
      </c>
      <c r="C217" s="57" t="s">
        <v>121</v>
      </c>
      <c r="D217" s="57" t="s">
        <v>503</v>
      </c>
      <c r="E217" s="57" t="s">
        <v>228</v>
      </c>
      <c r="F217" s="57" t="s">
        <v>498</v>
      </c>
      <c r="G217" s="397">
        <v>7.0562290825E10</v>
      </c>
      <c r="H217" s="397">
        <v>7.0877225124E10</v>
      </c>
      <c r="I217" s="57" t="s">
        <v>539</v>
      </c>
      <c r="J217" s="57" t="s">
        <v>537</v>
      </c>
      <c r="K217" s="57" t="s">
        <v>499</v>
      </c>
      <c r="L217" s="57">
        <v>11029.0</v>
      </c>
      <c r="M217" s="350"/>
      <c r="N217" s="57" t="s">
        <v>507</v>
      </c>
      <c r="O217" s="109"/>
      <c r="P217" s="109"/>
      <c r="Q217" s="109"/>
      <c r="R217" s="109"/>
      <c r="S217" s="109"/>
      <c r="T217" s="109"/>
      <c r="U217" s="109"/>
    </row>
    <row r="218">
      <c r="A218" s="355">
        <f t="shared" si="2"/>
        <v>124</v>
      </c>
      <c r="B218" s="382" t="s">
        <v>833</v>
      </c>
      <c r="C218" s="57" t="s">
        <v>136</v>
      </c>
      <c r="D218" s="57" t="s">
        <v>503</v>
      </c>
      <c r="E218" s="57" t="s">
        <v>228</v>
      </c>
      <c r="F218" s="57" t="s">
        <v>498</v>
      </c>
      <c r="G218" s="385">
        <v>7.0604800825E10</v>
      </c>
      <c r="H218" s="319">
        <v>7.0547210825E10</v>
      </c>
      <c r="I218" s="109"/>
      <c r="J218" s="109"/>
      <c r="K218" s="57" t="s">
        <v>499</v>
      </c>
      <c r="L218" s="109"/>
      <c r="M218" s="350"/>
      <c r="N218" s="57" t="s">
        <v>507</v>
      </c>
      <c r="O218" s="109"/>
      <c r="P218" s="109"/>
      <c r="Q218" s="109"/>
      <c r="R218" s="109"/>
      <c r="S218" s="109"/>
      <c r="T218" s="109"/>
      <c r="U218" s="109"/>
    </row>
    <row r="219">
      <c r="A219" s="355">
        <f t="shared" si="2"/>
        <v>125</v>
      </c>
      <c r="B219" s="382" t="s">
        <v>834</v>
      </c>
      <c r="C219" s="57" t="s">
        <v>120</v>
      </c>
      <c r="D219" s="57" t="s">
        <v>503</v>
      </c>
      <c r="E219" s="57" t="s">
        <v>228</v>
      </c>
      <c r="F219" s="57" t="s">
        <v>498</v>
      </c>
      <c r="G219" s="385">
        <v>7.0916220825E10</v>
      </c>
      <c r="H219" s="350">
        <v>7.0827731125E10</v>
      </c>
      <c r="I219" s="57" t="s">
        <v>526</v>
      </c>
      <c r="J219" s="57" t="s">
        <v>529</v>
      </c>
      <c r="K219" s="57" t="s">
        <v>499</v>
      </c>
      <c r="L219" s="350"/>
      <c r="M219" s="350"/>
      <c r="N219" s="57" t="s">
        <v>507</v>
      </c>
      <c r="O219" s="57"/>
      <c r="P219" s="109"/>
      <c r="Q219" s="109"/>
      <c r="R219" s="57"/>
      <c r="S219" s="57"/>
      <c r="T219" s="109"/>
      <c r="U219" s="57"/>
    </row>
    <row r="220">
      <c r="A220" s="355">
        <f t="shared" si="2"/>
        <v>126</v>
      </c>
      <c r="B220" s="382" t="s">
        <v>834</v>
      </c>
      <c r="C220" s="57" t="s">
        <v>104</v>
      </c>
      <c r="D220" s="57" t="s">
        <v>497</v>
      </c>
      <c r="E220" s="57" t="s">
        <v>228</v>
      </c>
      <c r="F220" s="57" t="s">
        <v>498</v>
      </c>
      <c r="G220" s="385">
        <v>7.0467831125E10</v>
      </c>
      <c r="H220" s="350">
        <v>7.0413970825E10</v>
      </c>
      <c r="I220" s="57" t="s">
        <v>496</v>
      </c>
      <c r="J220" s="57" t="s">
        <v>502</v>
      </c>
      <c r="K220" s="57" t="s">
        <v>499</v>
      </c>
      <c r="L220" s="57">
        <v>422842.0</v>
      </c>
      <c r="M220" s="350"/>
      <c r="N220" s="57" t="s">
        <v>507</v>
      </c>
      <c r="O220" s="109"/>
      <c r="P220" s="109"/>
      <c r="Q220" s="109"/>
      <c r="R220" s="109"/>
      <c r="S220" s="109"/>
      <c r="T220" s="109"/>
      <c r="U220" s="109"/>
    </row>
    <row r="221">
      <c r="A221" s="355">
        <f t="shared" si="2"/>
        <v>127</v>
      </c>
      <c r="B221" s="382" t="s">
        <v>835</v>
      </c>
      <c r="C221" s="57" t="s">
        <v>93</v>
      </c>
      <c r="D221" s="57" t="s">
        <v>503</v>
      </c>
      <c r="E221" s="57" t="s">
        <v>228</v>
      </c>
      <c r="F221" s="57" t="s">
        <v>498</v>
      </c>
      <c r="G221" s="385">
        <v>7.0817401125E10</v>
      </c>
      <c r="H221" s="350">
        <v>7.083319125E9</v>
      </c>
      <c r="I221" s="57"/>
      <c r="J221" s="57"/>
      <c r="K221" s="57" t="s">
        <v>499</v>
      </c>
      <c r="L221" s="350"/>
      <c r="M221" s="350"/>
      <c r="N221" s="57" t="s">
        <v>507</v>
      </c>
      <c r="O221" s="57"/>
      <c r="P221" s="109"/>
      <c r="Q221" s="109"/>
      <c r="R221" s="57"/>
      <c r="S221" s="57"/>
      <c r="T221" s="109"/>
      <c r="U221" s="57"/>
    </row>
    <row r="222">
      <c r="A222" s="355">
        <f t="shared" si="2"/>
        <v>128</v>
      </c>
      <c r="B222" s="382" t="s">
        <v>835</v>
      </c>
      <c r="C222" s="57" t="s">
        <v>93</v>
      </c>
      <c r="D222" s="57" t="s">
        <v>497</v>
      </c>
      <c r="E222" s="57" t="s">
        <v>228</v>
      </c>
      <c r="F222" s="57" t="s">
        <v>498</v>
      </c>
      <c r="G222" s="385">
        <v>7.0432851125E10</v>
      </c>
      <c r="H222" s="350">
        <v>7.0603961125E10</v>
      </c>
      <c r="I222" s="109"/>
      <c r="J222" s="109"/>
      <c r="K222" s="57" t="s">
        <v>499</v>
      </c>
      <c r="L222" s="57"/>
      <c r="M222" s="350"/>
      <c r="N222" s="57" t="s">
        <v>507</v>
      </c>
      <c r="O222" s="109"/>
      <c r="P222" s="109"/>
      <c r="Q222" s="109"/>
      <c r="R222" s="109"/>
      <c r="S222" s="109"/>
      <c r="T222" s="109"/>
      <c r="U222" s="109"/>
    </row>
    <row r="223">
      <c r="A223" s="355">
        <f t="shared" si="2"/>
        <v>129</v>
      </c>
      <c r="B223" s="382" t="s">
        <v>836</v>
      </c>
      <c r="C223" s="57" t="s">
        <v>121</v>
      </c>
      <c r="D223" s="57" t="s">
        <v>503</v>
      </c>
      <c r="E223" s="57" t="s">
        <v>228</v>
      </c>
      <c r="F223" s="57" t="s">
        <v>498</v>
      </c>
      <c r="G223" s="385">
        <v>7.0787001125E10</v>
      </c>
      <c r="H223" s="350">
        <v>7.0787841125E10</v>
      </c>
      <c r="I223" s="57" t="s">
        <v>532</v>
      </c>
      <c r="J223" s="57" t="s">
        <v>535</v>
      </c>
      <c r="K223" s="57" t="s">
        <v>499</v>
      </c>
      <c r="L223" s="57"/>
      <c r="M223" s="350"/>
      <c r="N223" s="57" t="s">
        <v>507</v>
      </c>
      <c r="O223" s="109"/>
      <c r="P223" s="109"/>
      <c r="Q223" s="109"/>
      <c r="R223" s="109"/>
      <c r="S223" s="109"/>
      <c r="T223" s="109"/>
      <c r="U223" s="109"/>
    </row>
    <row r="224">
      <c r="A224" s="355">
        <f t="shared" si="2"/>
        <v>130</v>
      </c>
      <c r="B224" s="398" t="s">
        <v>836</v>
      </c>
      <c r="C224" s="62" t="s">
        <v>168</v>
      </c>
      <c r="D224" s="62" t="s">
        <v>497</v>
      </c>
      <c r="E224" s="62" t="s">
        <v>228</v>
      </c>
      <c r="F224" s="62" t="s">
        <v>498</v>
      </c>
      <c r="G224" s="399">
        <v>7.0293970625E10</v>
      </c>
      <c r="H224" s="399">
        <v>7.0337330625E10</v>
      </c>
      <c r="I224" s="105"/>
      <c r="J224" s="105"/>
      <c r="K224" s="62" t="s">
        <v>499</v>
      </c>
      <c r="L224" s="62"/>
      <c r="M224" s="399"/>
      <c r="N224" s="62" t="s">
        <v>507</v>
      </c>
      <c r="O224" s="105"/>
      <c r="P224" s="105"/>
      <c r="Q224" s="105"/>
      <c r="R224" s="105"/>
      <c r="S224" s="105"/>
      <c r="T224" s="105"/>
      <c r="U224" s="105"/>
    </row>
    <row r="225">
      <c r="A225" s="355">
        <f t="shared" si="2"/>
        <v>131</v>
      </c>
      <c r="B225" s="398" t="s">
        <v>837</v>
      </c>
      <c r="C225" s="44" t="s">
        <v>208</v>
      </c>
      <c r="D225" s="62" t="s">
        <v>503</v>
      </c>
      <c r="E225" s="62" t="s">
        <v>228</v>
      </c>
      <c r="F225" s="62" t="s">
        <v>498</v>
      </c>
      <c r="G225" s="399">
        <v>7.0246810925E10</v>
      </c>
      <c r="H225" s="399">
        <v>7.0292100925E10</v>
      </c>
      <c r="I225" s="105"/>
      <c r="J225" s="105"/>
      <c r="K225" s="62" t="s">
        <v>499</v>
      </c>
      <c r="L225" s="62"/>
      <c r="M225" s="399"/>
      <c r="N225" s="62" t="s">
        <v>507</v>
      </c>
      <c r="O225" s="105"/>
      <c r="P225" s="105"/>
      <c r="Q225" s="105"/>
      <c r="R225" s="105"/>
      <c r="S225" s="105"/>
      <c r="T225" s="105"/>
      <c r="U225" s="105"/>
    </row>
    <row r="226">
      <c r="A226" s="355">
        <f t="shared" si="2"/>
        <v>132</v>
      </c>
      <c r="B226" s="398" t="s">
        <v>838</v>
      </c>
      <c r="C226" s="44" t="s">
        <v>104</v>
      </c>
      <c r="D226" s="62" t="s">
        <v>503</v>
      </c>
      <c r="E226" s="62" t="s">
        <v>228</v>
      </c>
      <c r="F226" s="62" t="s">
        <v>498</v>
      </c>
      <c r="G226" s="399">
        <v>7.0588350825E10</v>
      </c>
      <c r="H226" s="44">
        <v>7.0468031225E10</v>
      </c>
      <c r="I226" s="62" t="s">
        <v>532</v>
      </c>
      <c r="J226" s="62" t="s">
        <v>535</v>
      </c>
      <c r="K226" s="62" t="s">
        <v>499</v>
      </c>
      <c r="L226" s="44">
        <v>424210.0</v>
      </c>
      <c r="M226" s="399"/>
      <c r="N226" s="62" t="s">
        <v>507</v>
      </c>
      <c r="O226" s="105"/>
      <c r="P226" s="105"/>
      <c r="Q226" s="136"/>
      <c r="R226" s="105"/>
      <c r="S226" s="105"/>
      <c r="T226" s="136"/>
      <c r="U226" s="105"/>
    </row>
    <row r="227">
      <c r="A227" s="355">
        <f t="shared" si="2"/>
        <v>133</v>
      </c>
      <c r="B227" s="398" t="s">
        <v>839</v>
      </c>
      <c r="C227" s="44" t="s">
        <v>143</v>
      </c>
      <c r="D227" s="62" t="s">
        <v>497</v>
      </c>
      <c r="E227" s="62" t="s">
        <v>228</v>
      </c>
      <c r="F227" s="62" t="s">
        <v>498</v>
      </c>
      <c r="G227" s="399">
        <v>7.0569840925E10</v>
      </c>
      <c r="H227" s="44">
        <v>7.000919421E9</v>
      </c>
      <c r="I227" s="105"/>
      <c r="J227" s="105"/>
      <c r="K227" s="62" t="s">
        <v>499</v>
      </c>
      <c r="L227" s="136"/>
      <c r="M227" s="136"/>
      <c r="N227" s="62" t="s">
        <v>507</v>
      </c>
      <c r="O227" s="105"/>
      <c r="P227" s="105"/>
      <c r="Q227" s="136"/>
      <c r="R227" s="105"/>
      <c r="S227" s="105"/>
      <c r="T227" s="136"/>
      <c r="U227" s="105"/>
    </row>
    <row r="228">
      <c r="A228" s="355">
        <f t="shared" si="2"/>
        <v>134</v>
      </c>
      <c r="B228" s="398" t="s">
        <v>839</v>
      </c>
      <c r="C228" s="44" t="s">
        <v>57</v>
      </c>
      <c r="D228" s="62" t="s">
        <v>497</v>
      </c>
      <c r="E228" s="62" t="s">
        <v>228</v>
      </c>
      <c r="F228" s="62" t="s">
        <v>498</v>
      </c>
      <c r="G228" s="399">
        <v>7.0477131225E10</v>
      </c>
      <c r="H228" s="44">
        <v>7.0435391225E10</v>
      </c>
      <c r="I228" s="62" t="s">
        <v>496</v>
      </c>
      <c r="J228" s="62" t="s">
        <v>502</v>
      </c>
      <c r="K228" s="62" t="s">
        <v>499</v>
      </c>
      <c r="L228" s="44">
        <v>637350.0</v>
      </c>
      <c r="M228" s="136"/>
      <c r="N228" s="62" t="s">
        <v>507</v>
      </c>
      <c r="O228" s="105"/>
      <c r="P228" s="105"/>
      <c r="Q228" s="136"/>
      <c r="R228" s="105"/>
      <c r="S228" s="105"/>
      <c r="T228" s="136"/>
      <c r="U228" s="105"/>
    </row>
    <row r="229">
      <c r="A229" s="355">
        <f t="shared" si="2"/>
        <v>135</v>
      </c>
      <c r="B229" s="398" t="s">
        <v>840</v>
      </c>
      <c r="C229" s="44" t="s">
        <v>143</v>
      </c>
      <c r="D229" s="62" t="s">
        <v>503</v>
      </c>
      <c r="E229" s="62" t="s">
        <v>228</v>
      </c>
      <c r="F229" s="62" t="s">
        <v>498</v>
      </c>
      <c r="G229" s="399">
        <v>7.0190291225E10</v>
      </c>
      <c r="H229" s="44">
        <v>7.0611290825E10</v>
      </c>
      <c r="I229" s="105"/>
      <c r="J229" s="105"/>
      <c r="K229" s="62" t="s">
        <v>499</v>
      </c>
      <c r="L229" s="136"/>
      <c r="M229" s="136"/>
      <c r="N229" s="62" t="s">
        <v>507</v>
      </c>
      <c r="O229" s="105"/>
      <c r="P229" s="105"/>
      <c r="Q229" s="136"/>
      <c r="R229" s="105"/>
      <c r="S229" s="105"/>
      <c r="T229" s="136"/>
      <c r="U229" s="105"/>
    </row>
    <row r="230">
      <c r="A230" s="355">
        <f t="shared" si="2"/>
        <v>136</v>
      </c>
      <c r="B230" s="97">
        <v>45746.0</v>
      </c>
      <c r="C230" s="44" t="s">
        <v>132</v>
      </c>
      <c r="D230" s="62" t="s">
        <v>503</v>
      </c>
      <c r="E230" s="62" t="s">
        <v>228</v>
      </c>
      <c r="F230" s="62" t="s">
        <v>498</v>
      </c>
      <c r="G230" s="399">
        <v>7.0245090925E10</v>
      </c>
      <c r="H230" s="44">
        <v>7.0350110925E10</v>
      </c>
      <c r="I230" s="105"/>
      <c r="J230" s="105"/>
      <c r="K230" s="62" t="s">
        <v>499</v>
      </c>
      <c r="L230" s="136"/>
      <c r="M230" s="136"/>
      <c r="N230" s="62" t="s">
        <v>507</v>
      </c>
      <c r="O230" s="105"/>
      <c r="P230" s="105"/>
      <c r="Q230" s="136"/>
      <c r="R230" s="105"/>
      <c r="S230" s="105"/>
      <c r="T230" s="136"/>
      <c r="U230" s="105"/>
    </row>
    <row r="231">
      <c r="A231" s="355">
        <f t="shared" si="2"/>
        <v>137</v>
      </c>
      <c r="B231" s="97">
        <v>45746.0</v>
      </c>
      <c r="C231" s="88" t="s">
        <v>132</v>
      </c>
      <c r="D231" s="62" t="s">
        <v>497</v>
      </c>
      <c r="E231" s="62" t="s">
        <v>228</v>
      </c>
      <c r="F231" s="62" t="s">
        <v>498</v>
      </c>
      <c r="G231" s="399">
        <v>7.0003084924E10</v>
      </c>
      <c r="H231" s="88">
        <v>7.0754973024E10</v>
      </c>
      <c r="I231" s="105"/>
      <c r="J231" s="105"/>
      <c r="K231" s="62"/>
      <c r="L231" s="107"/>
      <c r="M231" s="107"/>
      <c r="N231" s="62"/>
      <c r="O231" s="105"/>
      <c r="P231" s="105"/>
      <c r="Q231" s="136"/>
      <c r="R231" s="105"/>
      <c r="S231" s="105"/>
      <c r="T231" s="136"/>
      <c r="U231" s="105"/>
    </row>
    <row r="232">
      <c r="A232" s="74">
        <v>1.0</v>
      </c>
      <c r="B232" s="97">
        <v>45752.0</v>
      </c>
      <c r="C232" s="57" t="s">
        <v>57</v>
      </c>
      <c r="D232" s="57" t="s">
        <v>503</v>
      </c>
      <c r="E232" s="57" t="s">
        <v>228</v>
      </c>
      <c r="F232" s="57" t="s">
        <v>498</v>
      </c>
      <c r="G232" s="350">
        <v>7.0484650825E10</v>
      </c>
      <c r="H232" s="350">
        <v>7.0562160825E10</v>
      </c>
      <c r="I232" s="57" t="s">
        <v>532</v>
      </c>
      <c r="J232" s="57" t="s">
        <v>535</v>
      </c>
      <c r="K232" s="57" t="s">
        <v>499</v>
      </c>
      <c r="L232" s="350">
        <v>640491.0</v>
      </c>
      <c r="M232" s="350" t="s">
        <v>595</v>
      </c>
      <c r="N232" s="57" t="s">
        <v>5</v>
      </c>
      <c r="O232" s="57"/>
      <c r="P232" s="109"/>
      <c r="Q232" s="109"/>
      <c r="R232" s="57">
        <v>0.0</v>
      </c>
      <c r="S232" s="57"/>
      <c r="T232" s="109"/>
      <c r="U232" s="57">
        <v>0.0</v>
      </c>
    </row>
    <row r="233">
      <c r="A233" s="355">
        <f t="shared" ref="A233:A310" si="3">A232+1</f>
        <v>2</v>
      </c>
      <c r="B233" s="97">
        <v>45755.0</v>
      </c>
      <c r="C233" s="57" t="s">
        <v>120</v>
      </c>
      <c r="D233" s="57" t="s">
        <v>503</v>
      </c>
      <c r="E233" s="57" t="s">
        <v>228</v>
      </c>
      <c r="F233" s="57" t="s">
        <v>498</v>
      </c>
      <c r="G233" s="350">
        <v>7.0248180925E10</v>
      </c>
      <c r="H233" s="350">
        <v>7.0351150925E10</v>
      </c>
      <c r="I233" s="57" t="s">
        <v>532</v>
      </c>
      <c r="J233" s="57" t="s">
        <v>535</v>
      </c>
      <c r="K233" s="57" t="s">
        <v>506</v>
      </c>
      <c r="L233" s="57">
        <v>689669.0</v>
      </c>
      <c r="M233" s="109"/>
      <c r="N233" s="57" t="s">
        <v>507</v>
      </c>
      <c r="O233" s="109"/>
      <c r="P233" s="109"/>
      <c r="Q233" s="109"/>
      <c r="R233" s="109"/>
      <c r="S233" s="109"/>
      <c r="T233" s="109"/>
      <c r="U233" s="109"/>
    </row>
    <row r="234">
      <c r="A234" s="355">
        <f t="shared" si="3"/>
        <v>3</v>
      </c>
      <c r="B234" s="97">
        <v>45755.0</v>
      </c>
      <c r="C234" s="57" t="s">
        <v>121</v>
      </c>
      <c r="D234" s="57" t="s">
        <v>497</v>
      </c>
      <c r="E234" s="57" t="s">
        <v>228</v>
      </c>
      <c r="F234" s="57" t="s">
        <v>498</v>
      </c>
      <c r="G234" s="350">
        <v>7.0014024924E10</v>
      </c>
      <c r="H234" s="350">
        <v>7.0596961225E10</v>
      </c>
      <c r="I234" s="57" t="s">
        <v>496</v>
      </c>
      <c r="J234" s="57" t="s">
        <v>502</v>
      </c>
      <c r="K234" s="57" t="s">
        <v>499</v>
      </c>
      <c r="L234" s="350">
        <v>16430.0</v>
      </c>
      <c r="M234" s="350"/>
      <c r="N234" s="57" t="s">
        <v>5</v>
      </c>
      <c r="O234" s="109"/>
      <c r="P234" s="109"/>
      <c r="Q234" s="109"/>
      <c r="R234" s="109"/>
      <c r="S234" s="109"/>
      <c r="T234" s="109"/>
      <c r="U234" s="109"/>
    </row>
    <row r="235">
      <c r="A235" s="355">
        <f t="shared" si="3"/>
        <v>4</v>
      </c>
      <c r="B235" s="57" t="s">
        <v>841</v>
      </c>
      <c r="C235" s="57" t="s">
        <v>159</v>
      </c>
      <c r="D235" s="57" t="s">
        <v>497</v>
      </c>
      <c r="E235" s="57" t="s">
        <v>228</v>
      </c>
      <c r="F235" s="57" t="s">
        <v>498</v>
      </c>
      <c r="G235" s="350">
        <v>7.0388061425E10</v>
      </c>
      <c r="H235" s="350">
        <v>7.0600031225E10</v>
      </c>
      <c r="I235" s="57" t="s">
        <v>526</v>
      </c>
      <c r="J235" s="57" t="s">
        <v>515</v>
      </c>
      <c r="K235" s="57" t="s">
        <v>499</v>
      </c>
      <c r="L235" s="57">
        <v>199230.0</v>
      </c>
      <c r="M235" s="109"/>
      <c r="N235" s="57" t="s">
        <v>507</v>
      </c>
      <c r="O235" s="109"/>
      <c r="P235" s="109"/>
      <c r="Q235" s="109"/>
      <c r="R235" s="109"/>
      <c r="S235" s="109"/>
      <c r="T235" s="109"/>
      <c r="U235" s="109"/>
    </row>
    <row r="236">
      <c r="A236" s="355">
        <f t="shared" si="3"/>
        <v>5</v>
      </c>
      <c r="B236" s="97">
        <v>45763.0</v>
      </c>
      <c r="C236" s="57" t="s">
        <v>159</v>
      </c>
      <c r="D236" s="57" t="s">
        <v>503</v>
      </c>
      <c r="E236" s="57" t="s">
        <v>228</v>
      </c>
      <c r="F236" s="57" t="s">
        <v>498</v>
      </c>
      <c r="G236" s="350">
        <v>7.0602521225E10</v>
      </c>
      <c r="H236" s="350">
        <v>7.0274961425E10</v>
      </c>
      <c r="I236" s="57" t="s">
        <v>510</v>
      </c>
      <c r="J236" s="57" t="s">
        <v>529</v>
      </c>
      <c r="K236" s="57" t="s">
        <v>499</v>
      </c>
      <c r="L236" s="57">
        <v>199230.0</v>
      </c>
      <c r="M236" s="109"/>
      <c r="N236" s="57" t="s">
        <v>507</v>
      </c>
      <c r="O236" s="109"/>
      <c r="P236" s="109"/>
      <c r="Q236" s="109"/>
      <c r="R236" s="109"/>
      <c r="S236" s="109"/>
      <c r="T236" s="109"/>
      <c r="U236" s="109"/>
    </row>
    <row r="237">
      <c r="A237" s="355">
        <f t="shared" si="3"/>
        <v>6</v>
      </c>
      <c r="B237" s="97">
        <v>45766.0</v>
      </c>
      <c r="C237" s="57" t="s">
        <v>160</v>
      </c>
      <c r="D237" s="57" t="s">
        <v>503</v>
      </c>
      <c r="E237" s="57" t="s">
        <v>228</v>
      </c>
      <c r="F237" s="57" t="s">
        <v>498</v>
      </c>
      <c r="G237" s="350">
        <v>7.0822201425E10</v>
      </c>
      <c r="H237" s="350">
        <v>7.0803441525E10</v>
      </c>
      <c r="I237" s="57" t="s">
        <v>537</v>
      </c>
      <c r="J237" s="57" t="s">
        <v>539</v>
      </c>
      <c r="K237" s="57" t="s">
        <v>499</v>
      </c>
      <c r="L237" s="350">
        <v>794891.0</v>
      </c>
      <c r="M237" s="350" t="s">
        <v>600</v>
      </c>
      <c r="N237" s="57" t="s">
        <v>507</v>
      </c>
      <c r="O237" s="57" t="s">
        <v>503</v>
      </c>
      <c r="P237" s="57" t="s">
        <v>498</v>
      </c>
      <c r="Q237" s="400">
        <v>7.0819752024E10</v>
      </c>
      <c r="R237" s="57" t="s">
        <v>842</v>
      </c>
      <c r="S237" s="57" t="s">
        <v>503</v>
      </c>
      <c r="T237" s="400">
        <v>7.0220581124E10</v>
      </c>
      <c r="U237" s="57" t="s">
        <v>842</v>
      </c>
    </row>
    <row r="238">
      <c r="A238" s="355">
        <f t="shared" si="3"/>
        <v>7</v>
      </c>
      <c r="B238" s="97">
        <v>45766.0</v>
      </c>
      <c r="C238" s="57" t="s">
        <v>155</v>
      </c>
      <c r="D238" s="57" t="s">
        <v>497</v>
      </c>
      <c r="E238" s="57" t="s">
        <v>512</v>
      </c>
      <c r="F238" s="57" t="s">
        <v>498</v>
      </c>
      <c r="G238" s="57">
        <v>7.0469362724E10</v>
      </c>
      <c r="H238" s="57">
        <v>7.0107382024E10</v>
      </c>
      <c r="I238" s="57"/>
      <c r="J238" s="57"/>
      <c r="K238" s="57" t="s">
        <v>518</v>
      </c>
      <c r="L238" s="57">
        <v>60435.0</v>
      </c>
      <c r="M238" s="57" t="s">
        <v>603</v>
      </c>
      <c r="N238" s="57" t="s">
        <v>5</v>
      </c>
      <c r="O238" s="57" t="s">
        <v>497</v>
      </c>
      <c r="P238" s="57" t="s">
        <v>498</v>
      </c>
      <c r="Q238" s="109"/>
      <c r="R238" s="57" t="s">
        <v>500</v>
      </c>
      <c r="S238" s="57" t="s">
        <v>497</v>
      </c>
      <c r="T238" s="57">
        <v>7.0790382024E10</v>
      </c>
      <c r="U238" s="57" t="s">
        <v>842</v>
      </c>
    </row>
    <row r="239">
      <c r="A239" s="355">
        <f t="shared" si="3"/>
        <v>8</v>
      </c>
      <c r="B239" s="97">
        <v>45766.0</v>
      </c>
      <c r="C239" s="57" t="s">
        <v>155</v>
      </c>
      <c r="D239" s="57" t="s">
        <v>497</v>
      </c>
      <c r="E239" s="57" t="s">
        <v>228</v>
      </c>
      <c r="F239" s="57" t="s">
        <v>498</v>
      </c>
      <c r="G239" s="57">
        <v>7.0595731225E10</v>
      </c>
      <c r="H239" s="57">
        <v>7.0443014924E10</v>
      </c>
      <c r="I239" s="57"/>
      <c r="J239" s="57"/>
      <c r="K239" s="57" t="s">
        <v>499</v>
      </c>
      <c r="L239" s="57">
        <v>60435.0</v>
      </c>
      <c r="M239" s="57" t="s">
        <v>603</v>
      </c>
      <c r="N239" s="57" t="s">
        <v>507</v>
      </c>
      <c r="O239" s="57" t="s">
        <v>503</v>
      </c>
      <c r="P239" s="57" t="s">
        <v>498</v>
      </c>
      <c r="Q239" s="57">
        <v>7.037791082E9</v>
      </c>
      <c r="R239" s="57" t="s">
        <v>842</v>
      </c>
      <c r="S239" s="57" t="s">
        <v>503</v>
      </c>
      <c r="T239" s="57">
        <v>7.0689162524E10</v>
      </c>
      <c r="U239" s="57" t="s">
        <v>842</v>
      </c>
    </row>
    <row r="240">
      <c r="A240" s="355">
        <f t="shared" si="3"/>
        <v>9</v>
      </c>
      <c r="B240" s="97">
        <v>45769.0</v>
      </c>
      <c r="C240" s="57" t="s">
        <v>181</v>
      </c>
      <c r="D240" s="57" t="s">
        <v>503</v>
      </c>
      <c r="E240" s="57" t="s">
        <v>512</v>
      </c>
      <c r="F240" s="57" t="s">
        <v>498</v>
      </c>
      <c r="G240" s="366">
        <v>7.0391330324E10</v>
      </c>
      <c r="H240" s="366">
        <v>7.0294420424E10</v>
      </c>
      <c r="I240" s="109"/>
      <c r="J240" s="109"/>
      <c r="K240" s="57" t="s">
        <v>518</v>
      </c>
      <c r="L240" s="366">
        <v>57543.0</v>
      </c>
      <c r="M240" s="109"/>
      <c r="N240" s="57" t="s">
        <v>5</v>
      </c>
      <c r="O240" s="57" t="s">
        <v>516</v>
      </c>
      <c r="P240" s="57" t="s">
        <v>498</v>
      </c>
      <c r="Q240" s="366" t="s">
        <v>606</v>
      </c>
      <c r="R240" s="109"/>
      <c r="S240" s="57" t="s">
        <v>516</v>
      </c>
      <c r="T240" s="109"/>
      <c r="U240" s="57" t="s">
        <v>500</v>
      </c>
    </row>
    <row r="241">
      <c r="A241" s="355">
        <f t="shared" si="3"/>
        <v>10</v>
      </c>
      <c r="B241" s="97">
        <v>45791.0</v>
      </c>
      <c r="C241" s="57" t="s">
        <v>187</v>
      </c>
      <c r="D241" s="57" t="s">
        <v>503</v>
      </c>
      <c r="E241" s="57" t="s">
        <v>228</v>
      </c>
      <c r="F241" s="57" t="s">
        <v>498</v>
      </c>
      <c r="G241" s="57">
        <v>7.0539331825E10</v>
      </c>
      <c r="H241" s="57">
        <v>7.0514321825E10</v>
      </c>
      <c r="I241" s="109"/>
      <c r="J241" s="109"/>
      <c r="K241" s="57" t="s">
        <v>499</v>
      </c>
      <c r="L241" s="57">
        <v>59044.0</v>
      </c>
      <c r="M241" s="57" t="s">
        <v>843</v>
      </c>
      <c r="N241" s="57" t="s">
        <v>507</v>
      </c>
      <c r="O241" s="57" t="s">
        <v>516</v>
      </c>
      <c r="P241" s="57" t="s">
        <v>498</v>
      </c>
      <c r="Q241" s="57" t="s">
        <v>844</v>
      </c>
      <c r="R241" s="57" t="s">
        <v>519</v>
      </c>
      <c r="S241" s="57" t="s">
        <v>516</v>
      </c>
      <c r="T241" s="57" t="s">
        <v>845</v>
      </c>
      <c r="U241" s="57" t="s">
        <v>500</v>
      </c>
    </row>
    <row r="242">
      <c r="A242" s="355">
        <f t="shared" si="3"/>
        <v>11</v>
      </c>
      <c r="B242" s="97">
        <v>45792.0</v>
      </c>
      <c r="C242" s="57" t="s">
        <v>168</v>
      </c>
      <c r="D242" s="57" t="s">
        <v>497</v>
      </c>
      <c r="E242" s="57" t="s">
        <v>512</v>
      </c>
      <c r="F242" s="57" t="s">
        <v>498</v>
      </c>
      <c r="G242" s="57">
        <v>7.0383002524E10</v>
      </c>
      <c r="H242" s="57">
        <v>7.0248004323E10</v>
      </c>
      <c r="I242" s="109"/>
      <c r="J242" s="109"/>
      <c r="K242" s="57" t="s">
        <v>518</v>
      </c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</row>
    <row r="243">
      <c r="A243" s="355">
        <f t="shared" si="3"/>
        <v>12</v>
      </c>
      <c r="B243" s="97">
        <v>45792.0</v>
      </c>
      <c r="C243" s="57" t="s">
        <v>168</v>
      </c>
      <c r="D243" s="57" t="s">
        <v>503</v>
      </c>
      <c r="E243" s="57" t="s">
        <v>512</v>
      </c>
      <c r="F243" s="57" t="s">
        <v>505</v>
      </c>
      <c r="G243" s="57">
        <v>7.0244492524E10</v>
      </c>
      <c r="H243" s="100"/>
      <c r="I243" s="109"/>
      <c r="J243" s="109"/>
      <c r="K243" s="57" t="s">
        <v>518</v>
      </c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</row>
    <row r="244">
      <c r="A244" s="355">
        <f t="shared" si="3"/>
        <v>13</v>
      </c>
      <c r="B244" s="97">
        <v>45794.0</v>
      </c>
      <c r="C244" s="57" t="s">
        <v>121</v>
      </c>
      <c r="D244" s="57" t="s">
        <v>503</v>
      </c>
      <c r="E244" s="57" t="s">
        <v>228</v>
      </c>
      <c r="F244" s="57" t="s">
        <v>498</v>
      </c>
      <c r="G244" s="57">
        <v>7.0008501725E10</v>
      </c>
      <c r="H244" s="57">
        <v>7.0165931825E10</v>
      </c>
      <c r="I244" s="109"/>
      <c r="J244" s="109"/>
      <c r="K244" s="57" t="s">
        <v>499</v>
      </c>
      <c r="L244" s="57">
        <v>28788.0</v>
      </c>
      <c r="M244" s="57" t="s">
        <v>846</v>
      </c>
      <c r="N244" s="57" t="s">
        <v>5</v>
      </c>
      <c r="O244" s="57" t="s">
        <v>503</v>
      </c>
      <c r="P244" s="57" t="s">
        <v>498</v>
      </c>
      <c r="Q244" s="57">
        <v>7.0091922024E10</v>
      </c>
      <c r="R244" s="57" t="s">
        <v>508</v>
      </c>
      <c r="S244" s="57" t="s">
        <v>497</v>
      </c>
      <c r="T244" s="57">
        <v>7.0269971624E10</v>
      </c>
      <c r="U244" s="57" t="s">
        <v>508</v>
      </c>
    </row>
    <row r="245">
      <c r="A245" s="355">
        <f t="shared" si="3"/>
        <v>14</v>
      </c>
      <c r="B245" s="97">
        <v>45800.0</v>
      </c>
      <c r="C245" s="57" t="s">
        <v>57</v>
      </c>
      <c r="D245" s="57" t="s">
        <v>503</v>
      </c>
      <c r="E245" s="57" t="s">
        <v>228</v>
      </c>
      <c r="F245" s="57" t="s">
        <v>498</v>
      </c>
      <c r="G245" s="57">
        <v>7.0772811925E10</v>
      </c>
      <c r="H245" s="57">
        <v>7.0884031925E10</v>
      </c>
      <c r="I245" s="109"/>
      <c r="J245" s="109"/>
      <c r="K245" s="57" t="s">
        <v>506</v>
      </c>
      <c r="L245" s="109"/>
      <c r="M245" s="57" t="s">
        <v>847</v>
      </c>
      <c r="N245" s="57" t="s">
        <v>507</v>
      </c>
      <c r="O245" s="57" t="s">
        <v>497</v>
      </c>
      <c r="P245" s="57" t="s">
        <v>498</v>
      </c>
      <c r="Q245" s="57">
        <v>7.0437763024E10</v>
      </c>
      <c r="R245" s="57" t="s">
        <v>519</v>
      </c>
      <c r="S245" s="57" t="s">
        <v>497</v>
      </c>
      <c r="T245" s="57">
        <v>7.0221622724E10</v>
      </c>
      <c r="U245" s="57" t="s">
        <v>519</v>
      </c>
    </row>
    <row r="246">
      <c r="A246" s="355">
        <f t="shared" si="3"/>
        <v>15</v>
      </c>
      <c r="B246" s="97">
        <v>45800.0</v>
      </c>
      <c r="C246" s="57" t="s">
        <v>104</v>
      </c>
      <c r="D246" s="57" t="s">
        <v>497</v>
      </c>
      <c r="E246" s="57" t="s">
        <v>228</v>
      </c>
      <c r="F246" s="57" t="s">
        <v>498</v>
      </c>
      <c r="G246" s="57">
        <v>7.0098981825E10</v>
      </c>
      <c r="H246" s="57">
        <v>7.0249091225E10</v>
      </c>
      <c r="I246" s="109"/>
      <c r="J246" s="109"/>
      <c r="K246" s="57" t="s">
        <v>499</v>
      </c>
      <c r="L246" s="57">
        <v>440947.0</v>
      </c>
      <c r="M246" s="57" t="s">
        <v>416</v>
      </c>
      <c r="N246" s="57" t="s">
        <v>507</v>
      </c>
      <c r="O246" s="57" t="s">
        <v>503</v>
      </c>
      <c r="P246" s="57" t="s">
        <v>498</v>
      </c>
      <c r="Q246" s="57">
        <v>7.0604151624E10</v>
      </c>
      <c r="R246" s="57" t="s">
        <v>519</v>
      </c>
      <c r="S246" s="57" t="s">
        <v>503</v>
      </c>
      <c r="T246" s="57">
        <v>7.0783812924E10</v>
      </c>
      <c r="U246" s="57" t="s">
        <v>500</v>
      </c>
    </row>
    <row r="247">
      <c r="A247" s="355">
        <f t="shared" si="3"/>
        <v>16</v>
      </c>
      <c r="B247" s="97">
        <v>45800.0</v>
      </c>
      <c r="C247" s="57" t="s">
        <v>104</v>
      </c>
      <c r="D247" s="57" t="s">
        <v>516</v>
      </c>
      <c r="E247" s="57" t="s">
        <v>512</v>
      </c>
      <c r="F247" s="57" t="s">
        <v>498</v>
      </c>
      <c r="G247" s="57" t="s">
        <v>848</v>
      </c>
      <c r="H247" s="57" t="s">
        <v>849</v>
      </c>
      <c r="I247" s="109"/>
      <c r="J247" s="109"/>
      <c r="K247" s="57" t="s">
        <v>518</v>
      </c>
      <c r="L247" s="57">
        <v>440947.0</v>
      </c>
      <c r="M247" s="57" t="s">
        <v>416</v>
      </c>
      <c r="N247" s="57" t="s">
        <v>5</v>
      </c>
      <c r="O247" s="57" t="s">
        <v>503</v>
      </c>
      <c r="P247" s="57" t="s">
        <v>498</v>
      </c>
      <c r="Q247" s="57">
        <v>7.0820192924E10</v>
      </c>
      <c r="R247" s="57" t="s">
        <v>519</v>
      </c>
      <c r="S247" s="57" t="s">
        <v>497</v>
      </c>
      <c r="T247" s="57">
        <v>7.0437533024E10</v>
      </c>
      <c r="U247" s="57" t="s">
        <v>519</v>
      </c>
    </row>
    <row r="248">
      <c r="A248" s="355">
        <f t="shared" si="3"/>
        <v>17</v>
      </c>
      <c r="B248" s="97">
        <v>45796.0</v>
      </c>
      <c r="C248" s="57" t="s">
        <v>93</v>
      </c>
      <c r="D248" s="57" t="s">
        <v>503</v>
      </c>
      <c r="E248" s="57" t="s">
        <v>228</v>
      </c>
      <c r="F248" s="57" t="s">
        <v>498</v>
      </c>
      <c r="G248" s="316">
        <v>7.0709741825E10</v>
      </c>
      <c r="H248" s="316">
        <v>7.0883541925E10</v>
      </c>
      <c r="I248" s="109"/>
      <c r="J248" s="109"/>
      <c r="K248" s="57" t="s">
        <v>499</v>
      </c>
      <c r="L248" s="57">
        <v>266721.0</v>
      </c>
      <c r="M248" s="57" t="s">
        <v>583</v>
      </c>
      <c r="N248" s="57" t="s">
        <v>507</v>
      </c>
      <c r="O248" s="57"/>
      <c r="P248" s="57"/>
      <c r="Q248" s="57"/>
      <c r="R248" s="57"/>
      <c r="S248" s="57"/>
      <c r="T248" s="57"/>
      <c r="U248" s="57"/>
    </row>
    <row r="249">
      <c r="A249" s="355">
        <f t="shared" si="3"/>
        <v>18</v>
      </c>
      <c r="B249" s="97">
        <v>45801.0</v>
      </c>
      <c r="C249" s="57" t="s">
        <v>181</v>
      </c>
      <c r="D249" s="57" t="s">
        <v>503</v>
      </c>
      <c r="E249" s="57" t="s">
        <v>228</v>
      </c>
      <c r="F249" s="57" t="s">
        <v>498</v>
      </c>
      <c r="G249" s="57">
        <v>7.0840741925E10</v>
      </c>
      <c r="H249" s="57">
        <v>7.0865781925E10</v>
      </c>
      <c r="I249" s="109"/>
      <c r="J249" s="109"/>
      <c r="K249" s="57" t="s">
        <v>499</v>
      </c>
      <c r="L249" s="57">
        <v>66969.0</v>
      </c>
      <c r="M249" s="57" t="s">
        <v>850</v>
      </c>
      <c r="N249" s="57" t="s">
        <v>507</v>
      </c>
      <c r="O249" s="57" t="s">
        <v>521</v>
      </c>
      <c r="P249" s="57" t="s">
        <v>498</v>
      </c>
      <c r="Q249" s="57" t="s">
        <v>851</v>
      </c>
      <c r="R249" s="57" t="s">
        <v>519</v>
      </c>
      <c r="S249" s="57" t="s">
        <v>511</v>
      </c>
      <c r="T249" s="57" t="s">
        <v>852</v>
      </c>
      <c r="U249" s="57" t="s">
        <v>519</v>
      </c>
    </row>
    <row r="250">
      <c r="A250" s="355">
        <f t="shared" si="3"/>
        <v>19</v>
      </c>
      <c r="B250" s="97">
        <v>45801.0</v>
      </c>
      <c r="C250" s="57" t="s">
        <v>181</v>
      </c>
      <c r="D250" s="57" t="s">
        <v>503</v>
      </c>
      <c r="E250" s="57" t="s">
        <v>228</v>
      </c>
      <c r="F250" s="57" t="s">
        <v>498</v>
      </c>
      <c r="G250" s="57">
        <v>7.0437511925E10</v>
      </c>
      <c r="H250" s="57">
        <v>7.0274351925E10</v>
      </c>
      <c r="I250" s="109"/>
      <c r="J250" s="109"/>
      <c r="K250" s="57" t="s">
        <v>499</v>
      </c>
      <c r="L250" s="57">
        <v>66969.0</v>
      </c>
      <c r="M250" s="57" t="s">
        <v>850</v>
      </c>
      <c r="N250" s="57" t="s">
        <v>507</v>
      </c>
      <c r="O250" s="57" t="s">
        <v>516</v>
      </c>
      <c r="P250" s="57" t="s">
        <v>498</v>
      </c>
      <c r="Q250" s="57" t="s">
        <v>853</v>
      </c>
      <c r="R250" s="57" t="s">
        <v>519</v>
      </c>
      <c r="S250" s="57" t="s">
        <v>516</v>
      </c>
      <c r="T250" s="57" t="s">
        <v>854</v>
      </c>
      <c r="U250" s="57" t="s">
        <v>519</v>
      </c>
    </row>
    <row r="251">
      <c r="A251" s="355">
        <f t="shared" si="3"/>
        <v>20</v>
      </c>
      <c r="B251" s="97">
        <v>45801.0</v>
      </c>
      <c r="C251" s="57" t="s">
        <v>181</v>
      </c>
      <c r="D251" s="57" t="s">
        <v>497</v>
      </c>
      <c r="E251" s="57" t="s">
        <v>512</v>
      </c>
      <c r="F251" s="57" t="s">
        <v>505</v>
      </c>
      <c r="G251" s="57">
        <v>7.0332580124E10</v>
      </c>
      <c r="H251" s="100"/>
      <c r="I251" s="109"/>
      <c r="J251" s="109"/>
      <c r="K251" s="57" t="s">
        <v>518</v>
      </c>
      <c r="L251" s="57">
        <v>66969.0</v>
      </c>
      <c r="M251" s="57" t="s">
        <v>850</v>
      </c>
      <c r="N251" s="57" t="s">
        <v>5</v>
      </c>
      <c r="O251" s="57" t="s">
        <v>503</v>
      </c>
      <c r="P251" s="57" t="s">
        <v>505</v>
      </c>
      <c r="Q251" s="57">
        <v>7.0294420424E10</v>
      </c>
      <c r="R251" s="57" t="s">
        <v>500</v>
      </c>
      <c r="S251" s="109"/>
      <c r="T251" s="109"/>
      <c r="U251" s="109"/>
    </row>
    <row r="252">
      <c r="A252" s="355">
        <f t="shared" si="3"/>
        <v>21</v>
      </c>
      <c r="B252" s="97">
        <v>45801.0</v>
      </c>
      <c r="C252" s="57" t="s">
        <v>160</v>
      </c>
      <c r="D252" s="57" t="s">
        <v>516</v>
      </c>
      <c r="E252" s="57" t="s">
        <v>512</v>
      </c>
      <c r="F252" s="57" t="s">
        <v>498</v>
      </c>
      <c r="G252" s="57" t="s">
        <v>855</v>
      </c>
      <c r="H252" s="57" t="s">
        <v>844</v>
      </c>
      <c r="I252" s="109"/>
      <c r="J252" s="109"/>
      <c r="K252" s="57" t="s">
        <v>518</v>
      </c>
      <c r="L252" s="57">
        <v>805715.0</v>
      </c>
      <c r="M252" s="57" t="s">
        <v>600</v>
      </c>
      <c r="N252" s="57" t="s">
        <v>5</v>
      </c>
      <c r="O252" s="57" t="s">
        <v>503</v>
      </c>
      <c r="P252" s="57" t="s">
        <v>498</v>
      </c>
      <c r="Q252" s="57">
        <v>7.0087070924E10</v>
      </c>
      <c r="R252" s="57" t="s">
        <v>508</v>
      </c>
      <c r="S252" s="57" t="s">
        <v>497</v>
      </c>
      <c r="T252" s="57">
        <v>7.0620271724E10</v>
      </c>
      <c r="U252" s="57" t="s">
        <v>508</v>
      </c>
    </row>
    <row r="253">
      <c r="A253" s="355">
        <f t="shared" si="3"/>
        <v>22</v>
      </c>
      <c r="B253" s="97">
        <v>45804.0</v>
      </c>
      <c r="C253" s="57" t="s">
        <v>155</v>
      </c>
      <c r="D253" s="57" t="s">
        <v>521</v>
      </c>
      <c r="E253" s="57" t="s">
        <v>512</v>
      </c>
      <c r="F253" s="57" t="s">
        <v>498</v>
      </c>
      <c r="G253" s="57" t="s">
        <v>856</v>
      </c>
      <c r="H253" s="57" t="s">
        <v>857</v>
      </c>
      <c r="I253" s="109"/>
      <c r="J253" s="109"/>
      <c r="K253" s="57" t="s">
        <v>518</v>
      </c>
      <c r="L253" s="57">
        <v>611188.0</v>
      </c>
      <c r="M253" s="57" t="s">
        <v>858</v>
      </c>
      <c r="N253" s="57" t="s">
        <v>5</v>
      </c>
      <c r="O253" s="57" t="s">
        <v>503</v>
      </c>
      <c r="P253" s="57" t="s">
        <v>498</v>
      </c>
      <c r="Q253" s="57">
        <v>7.0215560824E10</v>
      </c>
      <c r="R253" s="57" t="s">
        <v>508</v>
      </c>
      <c r="S253" s="57" t="s">
        <v>497</v>
      </c>
      <c r="T253" s="57">
        <v>7.0269881624E10</v>
      </c>
      <c r="U253" s="57" t="s">
        <v>508</v>
      </c>
    </row>
    <row r="254">
      <c r="A254" s="355">
        <f t="shared" si="3"/>
        <v>23</v>
      </c>
      <c r="B254" s="97">
        <v>45804.0</v>
      </c>
      <c r="C254" s="57" t="s">
        <v>147</v>
      </c>
      <c r="D254" s="57" t="s">
        <v>497</v>
      </c>
      <c r="E254" s="57" t="s">
        <v>512</v>
      </c>
      <c r="F254" s="57" t="s">
        <v>498</v>
      </c>
      <c r="G254" s="57">
        <v>7.0386081124E10</v>
      </c>
      <c r="H254" s="57" t="s">
        <v>859</v>
      </c>
      <c r="I254" s="109"/>
      <c r="J254" s="109"/>
      <c r="K254" s="57" t="s">
        <v>518</v>
      </c>
      <c r="L254" s="109"/>
      <c r="M254" s="109"/>
      <c r="N254" s="57" t="s">
        <v>5</v>
      </c>
      <c r="O254" s="57" t="s">
        <v>511</v>
      </c>
      <c r="P254" s="57" t="s">
        <v>498</v>
      </c>
      <c r="Q254" s="57" t="s">
        <v>735</v>
      </c>
      <c r="R254" s="57" t="s">
        <v>508</v>
      </c>
      <c r="S254" s="57" t="s">
        <v>503</v>
      </c>
      <c r="T254" s="57">
        <v>7.0186250324E10</v>
      </c>
      <c r="U254" s="57" t="s">
        <v>500</v>
      </c>
    </row>
    <row r="255">
      <c r="A255" s="355">
        <f t="shared" si="3"/>
        <v>24</v>
      </c>
      <c r="B255" s="97">
        <v>45808.0</v>
      </c>
      <c r="C255" s="57" t="s">
        <v>187</v>
      </c>
      <c r="D255" s="57" t="s">
        <v>503</v>
      </c>
      <c r="E255" s="57" t="s">
        <v>228</v>
      </c>
      <c r="F255" s="57" t="s">
        <v>498</v>
      </c>
      <c r="G255" s="57">
        <v>7.0329082125E10</v>
      </c>
      <c r="H255" s="57">
        <v>7.0399642125E10</v>
      </c>
      <c r="I255" s="109"/>
      <c r="J255" s="109"/>
      <c r="K255" s="57" t="s">
        <v>499</v>
      </c>
      <c r="L255" s="109"/>
      <c r="M255" s="109"/>
      <c r="N255" s="57" t="s">
        <v>507</v>
      </c>
      <c r="O255" s="57" t="s">
        <v>516</v>
      </c>
      <c r="P255" s="57" t="s">
        <v>498</v>
      </c>
      <c r="Q255" s="57" t="s">
        <v>860</v>
      </c>
      <c r="R255" s="57" t="s">
        <v>519</v>
      </c>
      <c r="S255" s="57" t="s">
        <v>516</v>
      </c>
      <c r="T255" s="57" t="s">
        <v>861</v>
      </c>
      <c r="U255" s="57" t="s">
        <v>519</v>
      </c>
    </row>
    <row r="256">
      <c r="A256" s="355">
        <f t="shared" si="3"/>
        <v>25</v>
      </c>
      <c r="B256" s="97">
        <v>45812.0</v>
      </c>
      <c r="C256" s="57" t="s">
        <v>168</v>
      </c>
      <c r="D256" s="57" t="s">
        <v>503</v>
      </c>
      <c r="E256" s="57" t="s">
        <v>228</v>
      </c>
      <c r="F256" s="57" t="s">
        <v>498</v>
      </c>
      <c r="G256" s="57">
        <v>7.0396062125E10</v>
      </c>
      <c r="H256" s="57">
        <v>7.0475062125E10</v>
      </c>
      <c r="I256" s="109"/>
      <c r="J256" s="109"/>
      <c r="K256" s="57" t="s">
        <v>499</v>
      </c>
      <c r="L256" s="57">
        <v>210910.0</v>
      </c>
      <c r="M256" s="57" t="s">
        <v>335</v>
      </c>
      <c r="N256" s="57" t="s">
        <v>507</v>
      </c>
      <c r="O256" s="57" t="s">
        <v>503</v>
      </c>
      <c r="P256" s="57" t="s">
        <v>498</v>
      </c>
      <c r="Q256" s="57">
        <v>7.0125690324E10</v>
      </c>
      <c r="R256" s="57" t="s">
        <v>519</v>
      </c>
      <c r="S256" s="57" t="s">
        <v>503</v>
      </c>
      <c r="T256" s="57">
        <v>7.0069222824E10</v>
      </c>
      <c r="U256" s="57" t="s">
        <v>519</v>
      </c>
    </row>
    <row r="257">
      <c r="A257" s="355">
        <f t="shared" si="3"/>
        <v>26</v>
      </c>
      <c r="B257" s="97">
        <v>45812.0</v>
      </c>
      <c r="C257" s="57" t="s">
        <v>168</v>
      </c>
      <c r="D257" s="57" t="s">
        <v>503</v>
      </c>
      <c r="E257" s="57" t="s">
        <v>512</v>
      </c>
      <c r="F257" s="57" t="s">
        <v>505</v>
      </c>
      <c r="G257" s="57">
        <v>7.0820192924E10</v>
      </c>
      <c r="H257" s="57"/>
      <c r="I257" s="109"/>
      <c r="J257" s="109"/>
      <c r="K257" s="57" t="s">
        <v>518</v>
      </c>
      <c r="L257" s="57">
        <v>210910.0</v>
      </c>
      <c r="M257" s="57" t="s">
        <v>335</v>
      </c>
      <c r="N257" s="57" t="s">
        <v>507</v>
      </c>
      <c r="O257" s="57" t="s">
        <v>511</v>
      </c>
      <c r="P257" s="57" t="s">
        <v>505</v>
      </c>
      <c r="Q257" s="57" t="s">
        <v>862</v>
      </c>
      <c r="R257" s="57" t="s">
        <v>519</v>
      </c>
      <c r="S257" s="57"/>
      <c r="T257" s="57"/>
      <c r="U257" s="57"/>
    </row>
    <row r="258">
      <c r="A258" s="355">
        <f t="shared" si="3"/>
        <v>27</v>
      </c>
      <c r="B258" s="97">
        <v>45816.0</v>
      </c>
      <c r="C258" s="57" t="s">
        <v>120</v>
      </c>
      <c r="D258" s="57" t="s">
        <v>503</v>
      </c>
      <c r="E258" s="57" t="s">
        <v>228</v>
      </c>
      <c r="F258" s="57" t="s">
        <v>498</v>
      </c>
      <c r="G258" s="57">
        <v>7.0883581925E10</v>
      </c>
      <c r="H258" s="57">
        <v>7.0437531925E10</v>
      </c>
      <c r="I258" s="109"/>
      <c r="J258" s="109"/>
      <c r="K258" s="57" t="s">
        <v>506</v>
      </c>
      <c r="L258" s="57">
        <v>705630.0</v>
      </c>
      <c r="M258" s="57"/>
      <c r="N258" s="57" t="s">
        <v>507</v>
      </c>
      <c r="O258" s="57"/>
      <c r="P258" s="57"/>
      <c r="Q258" s="57"/>
      <c r="R258" s="57"/>
      <c r="S258" s="57"/>
      <c r="T258" s="57"/>
      <c r="U258" s="57"/>
    </row>
    <row r="259">
      <c r="A259" s="355">
        <f t="shared" si="3"/>
        <v>28</v>
      </c>
      <c r="B259" s="97">
        <v>45817.0</v>
      </c>
      <c r="C259" s="57" t="s">
        <v>160</v>
      </c>
      <c r="D259" s="57" t="s">
        <v>497</v>
      </c>
      <c r="E259" s="57" t="s">
        <v>228</v>
      </c>
      <c r="F259" s="57" t="s">
        <v>498</v>
      </c>
      <c r="G259" s="57">
        <v>7.0263382125E10</v>
      </c>
      <c r="H259" s="57">
        <v>7.047072125E9</v>
      </c>
      <c r="I259" s="109"/>
      <c r="J259" s="109"/>
      <c r="K259" s="57" t="s">
        <v>499</v>
      </c>
      <c r="L259" s="57">
        <v>810431.0</v>
      </c>
      <c r="M259" s="57" t="s">
        <v>600</v>
      </c>
      <c r="N259" s="57" t="s">
        <v>5</v>
      </c>
      <c r="O259" s="57" t="s">
        <v>497</v>
      </c>
      <c r="P259" s="57" t="s">
        <v>498</v>
      </c>
      <c r="Q259" s="57">
        <v>7.0330230324E10</v>
      </c>
      <c r="R259" s="57" t="s">
        <v>512</v>
      </c>
      <c r="S259" s="57" t="s">
        <v>497</v>
      </c>
      <c r="T259" s="57">
        <v>7.0330390324E10</v>
      </c>
      <c r="U259" s="57" t="s">
        <v>512</v>
      </c>
    </row>
    <row r="260">
      <c r="A260" s="355">
        <f t="shared" si="3"/>
        <v>29</v>
      </c>
      <c r="B260" s="97">
        <v>45821.0</v>
      </c>
      <c r="C260" s="57" t="s">
        <v>93</v>
      </c>
      <c r="D260" s="57" t="s">
        <v>503</v>
      </c>
      <c r="E260" s="57" t="s">
        <v>228</v>
      </c>
      <c r="F260" s="57" t="s">
        <v>498</v>
      </c>
      <c r="G260" s="57">
        <v>7.0514231825E10</v>
      </c>
      <c r="H260" s="57">
        <v>7.0539861825E10</v>
      </c>
      <c r="I260" s="109"/>
      <c r="J260" s="109"/>
      <c r="K260" s="57" t="s">
        <v>499</v>
      </c>
      <c r="L260" s="57">
        <v>770902.0</v>
      </c>
      <c r="M260" s="57" t="s">
        <v>863</v>
      </c>
      <c r="N260" s="57" t="s">
        <v>5</v>
      </c>
      <c r="O260" s="57" t="s">
        <v>503</v>
      </c>
      <c r="P260" s="57" t="s">
        <v>498</v>
      </c>
      <c r="Q260" s="57">
        <v>7.0877013224E10</v>
      </c>
      <c r="R260" s="57" t="s">
        <v>512</v>
      </c>
      <c r="S260" s="57" t="s">
        <v>503</v>
      </c>
      <c r="T260" s="57">
        <v>7.0529810924E10</v>
      </c>
      <c r="U260" s="57" t="s">
        <v>512</v>
      </c>
    </row>
    <row r="261">
      <c r="A261" s="355">
        <f t="shared" si="3"/>
        <v>30</v>
      </c>
      <c r="B261" s="401" t="s">
        <v>864</v>
      </c>
      <c r="C261" s="57" t="s">
        <v>181</v>
      </c>
      <c r="D261" s="57" t="s">
        <v>503</v>
      </c>
      <c r="E261" s="57" t="s">
        <v>228</v>
      </c>
      <c r="F261" s="57" t="s">
        <v>498</v>
      </c>
      <c r="G261" s="402">
        <v>7.0786192425E10</v>
      </c>
      <c r="H261" s="403">
        <v>7.0794252425E10</v>
      </c>
      <c r="I261" s="109"/>
      <c r="J261" s="109"/>
      <c r="K261" s="57" t="s">
        <v>499</v>
      </c>
      <c r="L261" s="57">
        <v>76350.0</v>
      </c>
      <c r="M261" s="109"/>
      <c r="N261" s="57" t="s">
        <v>507</v>
      </c>
      <c r="O261" s="109"/>
      <c r="P261" s="109"/>
      <c r="Q261" s="109"/>
      <c r="R261" s="109"/>
      <c r="S261" s="57"/>
      <c r="T261" s="109"/>
      <c r="U261" s="109"/>
    </row>
    <row r="262">
      <c r="A262" s="355">
        <f t="shared" si="3"/>
        <v>31</v>
      </c>
      <c r="B262" s="401" t="s">
        <v>864</v>
      </c>
      <c r="C262" s="57" t="s">
        <v>168</v>
      </c>
      <c r="D262" s="57" t="s">
        <v>497</v>
      </c>
      <c r="E262" s="57" t="s">
        <v>228</v>
      </c>
      <c r="F262" s="57" t="s">
        <v>498</v>
      </c>
      <c r="G262" s="404">
        <v>7.0589411625E10</v>
      </c>
      <c r="H262" s="403">
        <v>7.0148791825E10</v>
      </c>
      <c r="I262" s="109"/>
      <c r="J262" s="109"/>
      <c r="K262" s="57" t="s">
        <v>506</v>
      </c>
      <c r="L262" s="109"/>
      <c r="M262" s="109"/>
      <c r="N262" s="57" t="s">
        <v>507</v>
      </c>
      <c r="O262" s="109"/>
      <c r="P262" s="109"/>
      <c r="Q262" s="109"/>
      <c r="R262" s="109"/>
      <c r="S262" s="57"/>
      <c r="T262" s="109"/>
      <c r="U262" s="109"/>
    </row>
    <row r="263">
      <c r="A263" s="355">
        <f t="shared" si="3"/>
        <v>32</v>
      </c>
      <c r="B263" s="97">
        <v>45833.0</v>
      </c>
      <c r="C263" s="57" t="s">
        <v>132</v>
      </c>
      <c r="D263" s="57" t="s">
        <v>503</v>
      </c>
      <c r="E263" s="57" t="s">
        <v>228</v>
      </c>
      <c r="F263" s="57" t="s">
        <v>498</v>
      </c>
      <c r="G263" s="57">
        <v>7.0785982425E10</v>
      </c>
      <c r="H263" s="57">
        <v>7.0795942325E10</v>
      </c>
      <c r="I263" s="109"/>
      <c r="J263" s="109"/>
      <c r="K263" s="57" t="s">
        <v>499</v>
      </c>
      <c r="L263" s="109"/>
      <c r="M263" s="109"/>
      <c r="N263" s="57" t="s">
        <v>507</v>
      </c>
      <c r="O263" s="109"/>
      <c r="P263" s="109"/>
      <c r="Q263" s="109"/>
      <c r="R263" s="109"/>
      <c r="S263" s="57"/>
      <c r="T263" s="109"/>
      <c r="U263" s="109"/>
    </row>
    <row r="264">
      <c r="A264" s="355">
        <f t="shared" si="3"/>
        <v>33</v>
      </c>
      <c r="B264" s="97">
        <v>45837.0</v>
      </c>
      <c r="C264" s="57" t="s">
        <v>155</v>
      </c>
      <c r="D264" s="57" t="s">
        <v>503</v>
      </c>
      <c r="E264" s="57" t="s">
        <v>228</v>
      </c>
      <c r="F264" s="57" t="s">
        <v>498</v>
      </c>
      <c r="G264" s="57">
        <v>7.0932072525E10</v>
      </c>
      <c r="H264" s="57">
        <v>7.0812662225E10</v>
      </c>
      <c r="I264" s="109"/>
      <c r="J264" s="109"/>
      <c r="K264" s="57" t="s">
        <v>499</v>
      </c>
      <c r="L264" s="109"/>
      <c r="M264" s="57" t="s">
        <v>865</v>
      </c>
      <c r="N264" s="57" t="s">
        <v>507</v>
      </c>
      <c r="O264" s="57" t="s">
        <v>503</v>
      </c>
      <c r="P264" s="57" t="s">
        <v>498</v>
      </c>
      <c r="Q264" s="57">
        <v>7.0384311324E10</v>
      </c>
      <c r="R264" s="57" t="s">
        <v>508</v>
      </c>
      <c r="S264" s="57" t="s">
        <v>503</v>
      </c>
      <c r="T264" s="57">
        <v>7.0107382024E10</v>
      </c>
      <c r="U264" s="57" t="s">
        <v>512</v>
      </c>
    </row>
    <row r="265">
      <c r="A265" s="355">
        <f t="shared" si="3"/>
        <v>34</v>
      </c>
      <c r="B265" s="97">
        <v>45840.0</v>
      </c>
      <c r="C265" s="57" t="s">
        <v>159</v>
      </c>
      <c r="D265" s="57" t="s">
        <v>503</v>
      </c>
      <c r="E265" s="57" t="s">
        <v>228</v>
      </c>
      <c r="F265" s="57" t="s">
        <v>498</v>
      </c>
      <c r="G265" s="57">
        <v>7.0785202425E10</v>
      </c>
      <c r="H265" s="57">
        <v>7.0806062425E10</v>
      </c>
      <c r="I265" s="109"/>
      <c r="J265" s="109"/>
      <c r="K265" s="57" t="s">
        <v>499</v>
      </c>
      <c r="L265" s="57">
        <v>226173.0</v>
      </c>
      <c r="M265" s="57" t="s">
        <v>866</v>
      </c>
      <c r="N265" s="57" t="s">
        <v>507</v>
      </c>
      <c r="O265" s="57" t="s">
        <v>521</v>
      </c>
      <c r="P265" s="57" t="s">
        <v>498</v>
      </c>
      <c r="Q265" s="57" t="s">
        <v>733</v>
      </c>
      <c r="R265" s="57" t="s">
        <v>500</v>
      </c>
      <c r="S265" s="57" t="s">
        <v>503</v>
      </c>
      <c r="T265" s="57">
        <v>7.0198691324E10</v>
      </c>
      <c r="U265" s="57" t="s">
        <v>500</v>
      </c>
    </row>
    <row r="266">
      <c r="A266" s="355">
        <f t="shared" si="3"/>
        <v>35</v>
      </c>
      <c r="B266" s="97">
        <v>45843.0</v>
      </c>
      <c r="C266" s="57" t="s">
        <v>208</v>
      </c>
      <c r="D266" s="57" t="s">
        <v>503</v>
      </c>
      <c r="E266" s="57" t="s">
        <v>228</v>
      </c>
      <c r="F266" s="57" t="s">
        <v>498</v>
      </c>
      <c r="G266" s="57">
        <v>7.0794352425E10</v>
      </c>
      <c r="H266" s="57">
        <v>7.0795912425E10</v>
      </c>
      <c r="I266" s="109"/>
      <c r="J266" s="109"/>
      <c r="K266" s="57" t="s">
        <v>499</v>
      </c>
      <c r="L266" s="57">
        <v>693568.0</v>
      </c>
      <c r="M266" s="57" t="s">
        <v>867</v>
      </c>
      <c r="N266" s="57" t="s">
        <v>507</v>
      </c>
      <c r="O266" s="57" t="s">
        <v>503</v>
      </c>
      <c r="P266" s="57" t="s">
        <v>498</v>
      </c>
      <c r="Q266" s="57">
        <v>7.0500793224E10</v>
      </c>
      <c r="R266" s="57" t="s">
        <v>519</v>
      </c>
      <c r="S266" s="57" t="s">
        <v>503</v>
      </c>
      <c r="T266" s="57">
        <v>7.0527733224E10</v>
      </c>
      <c r="U266" s="57" t="s">
        <v>519</v>
      </c>
      <c r="V266" s="2" t="s">
        <v>868</v>
      </c>
      <c r="W266" s="2">
        <v>12000.0</v>
      </c>
    </row>
    <row r="267">
      <c r="A267" s="355">
        <f t="shared" si="3"/>
        <v>36</v>
      </c>
      <c r="B267" s="97">
        <v>45845.0</v>
      </c>
      <c r="C267" s="57" t="s">
        <v>181</v>
      </c>
      <c r="D267" s="57" t="s">
        <v>497</v>
      </c>
      <c r="E267" s="57" t="s">
        <v>228</v>
      </c>
      <c r="F267" s="57" t="s">
        <v>498</v>
      </c>
      <c r="G267" s="57">
        <v>7.0528822525E10</v>
      </c>
      <c r="H267" s="57">
        <v>7.0543752525E10</v>
      </c>
      <c r="I267" s="109"/>
      <c r="J267" s="109"/>
      <c r="K267" s="57" t="s">
        <v>499</v>
      </c>
      <c r="L267" s="57">
        <v>84493.0</v>
      </c>
      <c r="M267" s="57" t="s">
        <v>869</v>
      </c>
      <c r="N267" s="57" t="s">
        <v>507</v>
      </c>
      <c r="O267" s="109"/>
      <c r="P267" s="109"/>
      <c r="Q267" s="109"/>
      <c r="R267" s="109"/>
      <c r="S267" s="57"/>
      <c r="T267" s="109"/>
      <c r="U267" s="109"/>
      <c r="V267" s="2" t="s">
        <v>870</v>
      </c>
    </row>
    <row r="268">
      <c r="A268" s="355">
        <f t="shared" si="3"/>
        <v>37</v>
      </c>
      <c r="B268" s="97">
        <v>45847.0</v>
      </c>
      <c r="C268" s="57" t="s">
        <v>147</v>
      </c>
      <c r="D268" s="57" t="s">
        <v>497</v>
      </c>
      <c r="E268" s="57" t="s">
        <v>228</v>
      </c>
      <c r="F268" s="57" t="s">
        <v>498</v>
      </c>
      <c r="G268" s="57">
        <v>7.0430571725E10</v>
      </c>
      <c r="H268" s="57">
        <v>7.0507981725E10</v>
      </c>
      <c r="I268" s="109"/>
      <c r="J268" s="109"/>
      <c r="K268" s="57" t="s">
        <v>506</v>
      </c>
      <c r="L268" s="109"/>
      <c r="M268" s="57" t="s">
        <v>359</v>
      </c>
      <c r="N268" s="57" t="s">
        <v>507</v>
      </c>
      <c r="O268" s="57" t="s">
        <v>497</v>
      </c>
      <c r="P268" s="57" t="s">
        <v>498</v>
      </c>
      <c r="Q268" s="57">
        <v>7.0466924624E10</v>
      </c>
      <c r="R268" s="57" t="s">
        <v>519</v>
      </c>
      <c r="S268" s="57" t="s">
        <v>497</v>
      </c>
      <c r="T268" s="57">
        <v>7.0553574624E10</v>
      </c>
      <c r="U268" s="57" t="s">
        <v>519</v>
      </c>
    </row>
    <row r="269">
      <c r="A269" s="355">
        <f t="shared" si="3"/>
        <v>38</v>
      </c>
      <c r="B269" s="97">
        <v>45847.0</v>
      </c>
      <c r="C269" s="57" t="s">
        <v>147</v>
      </c>
      <c r="D269" s="57" t="s">
        <v>497</v>
      </c>
      <c r="E269" s="57" t="s">
        <v>512</v>
      </c>
      <c r="F269" s="57" t="s">
        <v>498</v>
      </c>
      <c r="G269" s="57">
        <v>7.0079341524E10</v>
      </c>
      <c r="H269" s="57">
        <v>7.0104781524E10</v>
      </c>
      <c r="I269" s="109"/>
      <c r="J269" s="109"/>
      <c r="K269" s="57" t="s">
        <v>518</v>
      </c>
      <c r="L269" s="109"/>
      <c r="M269" s="57" t="s">
        <v>359</v>
      </c>
      <c r="N269" s="57" t="s">
        <v>5</v>
      </c>
      <c r="O269" s="57" t="s">
        <v>497</v>
      </c>
      <c r="P269" s="57" t="s">
        <v>498</v>
      </c>
      <c r="Q269" s="57">
        <v>7.0265723224E10</v>
      </c>
      <c r="R269" s="57" t="s">
        <v>519</v>
      </c>
      <c r="S269" s="57" t="s">
        <v>497</v>
      </c>
      <c r="T269" s="57" t="s">
        <v>871</v>
      </c>
      <c r="U269" s="57" t="s">
        <v>508</v>
      </c>
    </row>
    <row r="270">
      <c r="A270" s="355">
        <f t="shared" si="3"/>
        <v>39</v>
      </c>
      <c r="B270" s="97">
        <v>45850.0</v>
      </c>
      <c r="C270" s="57" t="s">
        <v>136</v>
      </c>
      <c r="D270" s="57" t="s">
        <v>503</v>
      </c>
      <c r="E270" s="57" t="s">
        <v>228</v>
      </c>
      <c r="F270" s="57" t="s">
        <v>498</v>
      </c>
      <c r="G270" s="57">
        <v>7.0035252725E10</v>
      </c>
      <c r="H270" s="57">
        <v>7.0034242725E10</v>
      </c>
      <c r="I270" s="109"/>
      <c r="J270" s="109"/>
      <c r="K270" s="57" t="s">
        <v>499</v>
      </c>
      <c r="L270" s="109"/>
      <c r="M270" s="57" t="s">
        <v>872</v>
      </c>
      <c r="N270" s="57" t="s">
        <v>5</v>
      </c>
      <c r="O270" s="57" t="s">
        <v>497</v>
      </c>
      <c r="P270" s="57" t="s">
        <v>505</v>
      </c>
      <c r="Q270" s="57">
        <v>7.0734032724E10</v>
      </c>
      <c r="R270" s="57" t="s">
        <v>519</v>
      </c>
      <c r="S270" s="57" t="s">
        <v>503</v>
      </c>
      <c r="T270" s="57">
        <v>7.0438222824E10</v>
      </c>
      <c r="U270" s="57" t="s">
        <v>519</v>
      </c>
    </row>
    <row r="271">
      <c r="A271" s="355">
        <f t="shared" si="3"/>
        <v>40</v>
      </c>
      <c r="B271" s="97">
        <v>45850.0</v>
      </c>
      <c r="C271" s="57" t="s">
        <v>136</v>
      </c>
      <c r="D271" s="109"/>
      <c r="E271" s="109"/>
      <c r="F271" s="109"/>
      <c r="G271" s="100"/>
      <c r="H271" s="100"/>
      <c r="I271" s="109"/>
      <c r="J271" s="109"/>
      <c r="K271" s="109"/>
      <c r="L271" s="109"/>
      <c r="M271" s="109"/>
      <c r="N271" s="109"/>
      <c r="O271" s="57" t="s">
        <v>503</v>
      </c>
      <c r="P271" s="57" t="s">
        <v>505</v>
      </c>
      <c r="Q271" s="57">
        <v>7.0028232824E10</v>
      </c>
      <c r="R271" s="57" t="s">
        <v>508</v>
      </c>
      <c r="S271" s="57"/>
      <c r="T271" s="109"/>
      <c r="U271" s="109"/>
    </row>
    <row r="272">
      <c r="A272" s="355">
        <f t="shared" si="3"/>
        <v>41</v>
      </c>
      <c r="B272" s="97">
        <v>45857.0</v>
      </c>
      <c r="C272" s="57" t="s">
        <v>168</v>
      </c>
      <c r="D272" s="57" t="s">
        <v>497</v>
      </c>
      <c r="E272" s="57" t="s">
        <v>228</v>
      </c>
      <c r="F272" s="57" t="s">
        <v>498</v>
      </c>
      <c r="G272" s="57">
        <v>7.0906611925E10</v>
      </c>
      <c r="H272" s="57">
        <v>7.0237772425E10</v>
      </c>
      <c r="I272" s="109"/>
      <c r="J272" s="109"/>
      <c r="K272" s="57" t="s">
        <v>506</v>
      </c>
      <c r="L272" s="57">
        <v>228338.0</v>
      </c>
      <c r="M272" s="57" t="s">
        <v>335</v>
      </c>
      <c r="N272" s="57" t="s">
        <v>507</v>
      </c>
      <c r="O272" s="57" t="s">
        <v>511</v>
      </c>
      <c r="P272" s="57" t="s">
        <v>498</v>
      </c>
      <c r="Q272" s="57" t="s">
        <v>873</v>
      </c>
      <c r="R272" s="57" t="s">
        <v>519</v>
      </c>
      <c r="S272" s="57" t="s">
        <v>503</v>
      </c>
      <c r="T272" s="57">
        <v>7.0021242824E10</v>
      </c>
      <c r="U272" s="57" t="s">
        <v>508</v>
      </c>
    </row>
    <row r="273" ht="15.75" customHeight="1">
      <c r="A273" s="355">
        <f t="shared" si="3"/>
        <v>42</v>
      </c>
      <c r="B273" s="405">
        <v>45861.0</v>
      </c>
      <c r="C273" s="57" t="s">
        <v>120</v>
      </c>
      <c r="D273" s="57" t="s">
        <v>497</v>
      </c>
      <c r="E273" s="57" t="s">
        <v>228</v>
      </c>
      <c r="F273" s="57" t="s">
        <v>498</v>
      </c>
      <c r="G273" s="57">
        <v>7.0105252825E10</v>
      </c>
      <c r="H273" s="57">
        <v>7.0307532725E10</v>
      </c>
      <c r="I273" s="109"/>
      <c r="J273" s="109"/>
      <c r="K273" s="57" t="s">
        <v>499</v>
      </c>
      <c r="L273" s="57">
        <v>720278.0</v>
      </c>
      <c r="M273" s="109"/>
      <c r="N273" s="57" t="s">
        <v>507</v>
      </c>
      <c r="O273" s="57" t="s">
        <v>497</v>
      </c>
      <c r="P273" s="57" t="s">
        <v>498</v>
      </c>
      <c r="Q273" s="57">
        <v>7.0340814724E10</v>
      </c>
      <c r="R273" s="57" t="s">
        <v>534</v>
      </c>
      <c r="S273" s="57" t="s">
        <v>497</v>
      </c>
      <c r="T273" s="57">
        <v>7.0228243924E10</v>
      </c>
      <c r="U273" s="57" t="s">
        <v>519</v>
      </c>
    </row>
    <row r="274" ht="15.75" customHeight="1">
      <c r="A274" s="355">
        <f t="shared" si="3"/>
        <v>43</v>
      </c>
      <c r="B274" s="97">
        <v>45868.0</v>
      </c>
      <c r="C274" s="57" t="s">
        <v>147</v>
      </c>
      <c r="D274" s="57" t="s">
        <v>497</v>
      </c>
      <c r="E274" s="57" t="s">
        <v>228</v>
      </c>
      <c r="F274" s="57" t="s">
        <v>498</v>
      </c>
      <c r="G274" s="57">
        <v>7.0525262725E10</v>
      </c>
      <c r="H274" s="57">
        <v>7.0608672825E10</v>
      </c>
      <c r="I274" s="109"/>
      <c r="J274" s="109"/>
      <c r="K274" s="57" t="s">
        <v>506</v>
      </c>
      <c r="L274" s="57">
        <v>856076.0</v>
      </c>
      <c r="M274" s="57" t="s">
        <v>874</v>
      </c>
      <c r="N274" s="57" t="s">
        <v>507</v>
      </c>
      <c r="O274" s="109"/>
      <c r="P274" s="109"/>
      <c r="Q274" s="109"/>
      <c r="R274" s="109"/>
      <c r="S274" s="57"/>
      <c r="T274" s="109"/>
      <c r="U274" s="109"/>
      <c r="V274" s="2" t="s">
        <v>531</v>
      </c>
    </row>
    <row r="275">
      <c r="A275" s="355">
        <f t="shared" si="3"/>
        <v>44</v>
      </c>
      <c r="B275" s="405">
        <v>45873.0</v>
      </c>
      <c r="C275" s="57" t="s">
        <v>159</v>
      </c>
      <c r="D275" s="57" t="s">
        <v>503</v>
      </c>
      <c r="E275" s="57" t="s">
        <v>228</v>
      </c>
      <c r="F275" s="57" t="s">
        <v>498</v>
      </c>
      <c r="G275" s="57">
        <v>7.0173953025E10</v>
      </c>
      <c r="H275" s="57">
        <v>7.0313363025E10</v>
      </c>
      <c r="I275" s="109"/>
      <c r="J275" s="109"/>
      <c r="K275" s="57" t="s">
        <v>499</v>
      </c>
      <c r="L275" s="57">
        <v>238224.0</v>
      </c>
      <c r="M275" s="57" t="s">
        <v>413</v>
      </c>
      <c r="N275" s="57" t="s">
        <v>507</v>
      </c>
      <c r="O275" s="57" t="s">
        <v>511</v>
      </c>
      <c r="P275" s="57" t="s">
        <v>498</v>
      </c>
      <c r="Q275" s="57" t="s">
        <v>875</v>
      </c>
      <c r="R275" s="57" t="s">
        <v>508</v>
      </c>
      <c r="S275" s="57" t="s">
        <v>511</v>
      </c>
      <c r="T275" s="57" t="s">
        <v>876</v>
      </c>
      <c r="U275" s="57" t="s">
        <v>508</v>
      </c>
      <c r="V275" s="2" t="s">
        <v>877</v>
      </c>
    </row>
    <row r="276">
      <c r="A276" s="355">
        <f t="shared" si="3"/>
        <v>45</v>
      </c>
      <c r="B276" s="97">
        <v>45873.0</v>
      </c>
      <c r="C276" s="57" t="s">
        <v>155</v>
      </c>
      <c r="D276" s="57" t="s">
        <v>503</v>
      </c>
      <c r="E276" s="57" t="s">
        <v>228</v>
      </c>
      <c r="F276" s="57" t="s">
        <v>498</v>
      </c>
      <c r="G276" s="57">
        <v>7.0485503025E10</v>
      </c>
      <c r="H276" s="57">
        <v>7.0705232825E10</v>
      </c>
      <c r="I276" s="109"/>
      <c r="J276" s="109"/>
      <c r="K276" s="57" t="s">
        <v>506</v>
      </c>
      <c r="L276" s="57">
        <v>631223.0</v>
      </c>
      <c r="M276" s="57" t="s">
        <v>863</v>
      </c>
      <c r="N276" s="57" t="s">
        <v>507</v>
      </c>
      <c r="O276" s="109"/>
      <c r="P276" s="109"/>
      <c r="Q276" s="109"/>
      <c r="R276" s="109"/>
      <c r="S276" s="57"/>
      <c r="T276" s="109"/>
      <c r="U276" s="109"/>
      <c r="V276" s="2" t="s">
        <v>531</v>
      </c>
    </row>
    <row r="277">
      <c r="A277" s="355">
        <f t="shared" si="3"/>
        <v>46</v>
      </c>
      <c r="B277" s="97">
        <v>45878.0</v>
      </c>
      <c r="C277" s="57" t="s">
        <v>187</v>
      </c>
      <c r="D277" s="57" t="s">
        <v>497</v>
      </c>
      <c r="E277" s="57" t="s">
        <v>228</v>
      </c>
      <c r="F277" s="57" t="s">
        <v>498</v>
      </c>
      <c r="G277" s="57">
        <v>7.0443912125E10</v>
      </c>
      <c r="H277" s="57">
        <v>7.0742582525E10</v>
      </c>
      <c r="I277" s="109"/>
      <c r="J277" s="109"/>
      <c r="K277" s="57" t="s">
        <v>499</v>
      </c>
      <c r="L277" s="57">
        <v>89277.0</v>
      </c>
      <c r="M277" s="57" t="s">
        <v>878</v>
      </c>
      <c r="N277" s="57" t="s">
        <v>507</v>
      </c>
      <c r="O277" s="57" t="s">
        <v>516</v>
      </c>
      <c r="P277" s="57" t="s">
        <v>498</v>
      </c>
      <c r="Q277" s="57">
        <v>2.3020092924E10</v>
      </c>
      <c r="R277" s="57" t="s">
        <v>519</v>
      </c>
      <c r="S277" s="57" t="s">
        <v>516</v>
      </c>
      <c r="T277" s="57">
        <v>2.3172842924E10</v>
      </c>
      <c r="U277" s="57" t="s">
        <v>519</v>
      </c>
    </row>
    <row r="278">
      <c r="A278" s="355">
        <f t="shared" si="3"/>
        <v>47</v>
      </c>
      <c r="B278" s="97">
        <v>45878.0</v>
      </c>
      <c r="C278" s="57" t="s">
        <v>187</v>
      </c>
      <c r="D278" s="57" t="s">
        <v>503</v>
      </c>
      <c r="E278" s="57" t="s">
        <v>228</v>
      </c>
      <c r="F278" s="57" t="s">
        <v>498</v>
      </c>
      <c r="G278" s="57">
        <v>7.0060543025E10</v>
      </c>
      <c r="H278" s="57">
        <v>7.0388863025E10</v>
      </c>
      <c r="I278" s="109"/>
      <c r="J278" s="109"/>
      <c r="K278" s="57" t="s">
        <v>499</v>
      </c>
      <c r="L278" s="57">
        <v>89277.0</v>
      </c>
      <c r="M278" s="57" t="s">
        <v>878</v>
      </c>
      <c r="N278" s="57" t="s">
        <v>507</v>
      </c>
      <c r="O278" s="57" t="s">
        <v>516</v>
      </c>
      <c r="P278" s="57" t="s">
        <v>498</v>
      </c>
      <c r="Q278" s="57">
        <v>2.7164932924E10</v>
      </c>
      <c r="R278" s="57" t="s">
        <v>519</v>
      </c>
      <c r="S278" s="57" t="s">
        <v>516</v>
      </c>
      <c r="T278" s="57">
        <v>2.2040442924E10</v>
      </c>
      <c r="U278" s="57" t="s">
        <v>519</v>
      </c>
      <c r="V278" s="2" t="s">
        <v>879</v>
      </c>
    </row>
    <row r="279">
      <c r="A279" s="355">
        <f t="shared" si="3"/>
        <v>48</v>
      </c>
      <c r="B279" s="405">
        <v>45880.0</v>
      </c>
      <c r="C279" s="57" t="s">
        <v>132</v>
      </c>
      <c r="D279" s="57" t="s">
        <v>503</v>
      </c>
      <c r="E279" s="57" t="s">
        <v>228</v>
      </c>
      <c r="F279" s="57" t="s">
        <v>498</v>
      </c>
      <c r="G279" s="57">
        <v>7.0051223025E10</v>
      </c>
      <c r="H279" s="57">
        <v>7.0050493025E10</v>
      </c>
      <c r="I279" s="109"/>
      <c r="J279" s="109"/>
      <c r="K279" s="57" t="s">
        <v>499</v>
      </c>
      <c r="L279" s="57">
        <v>658248.0</v>
      </c>
      <c r="M279" s="57" t="s">
        <v>749</v>
      </c>
      <c r="N279" s="57" t="s">
        <v>507</v>
      </c>
      <c r="O279" s="57" t="s">
        <v>503</v>
      </c>
      <c r="P279" s="57" t="s">
        <v>498</v>
      </c>
      <c r="Q279" s="57">
        <v>7.0610083124E10</v>
      </c>
      <c r="R279" s="57" t="s">
        <v>500</v>
      </c>
      <c r="S279" s="57" t="s">
        <v>503</v>
      </c>
      <c r="T279" s="57">
        <v>7.0388573424E10</v>
      </c>
      <c r="U279" s="57" t="s">
        <v>519</v>
      </c>
    </row>
    <row r="280">
      <c r="A280" s="355">
        <f t="shared" si="3"/>
        <v>49</v>
      </c>
      <c r="B280" s="97">
        <v>45882.0</v>
      </c>
      <c r="C280" s="57" t="s">
        <v>120</v>
      </c>
      <c r="D280" s="57" t="s">
        <v>503</v>
      </c>
      <c r="E280" s="57" t="s">
        <v>228</v>
      </c>
      <c r="F280" s="57" t="s">
        <v>498</v>
      </c>
      <c r="G280" s="57">
        <v>7.0384643025E10</v>
      </c>
      <c r="H280" s="57">
        <v>7.0385703025E10</v>
      </c>
      <c r="I280" s="109"/>
      <c r="J280" s="109"/>
      <c r="K280" s="57" t="s">
        <v>499</v>
      </c>
      <c r="L280" s="57">
        <v>727213.0</v>
      </c>
      <c r="M280" s="109"/>
      <c r="N280" s="57" t="s">
        <v>5</v>
      </c>
      <c r="O280" s="109"/>
      <c r="P280" s="109"/>
      <c r="Q280" s="109"/>
      <c r="R280" s="109"/>
      <c r="S280" s="57"/>
      <c r="T280" s="109"/>
      <c r="U280" s="109"/>
      <c r="V280" s="2" t="s">
        <v>880</v>
      </c>
    </row>
    <row r="281">
      <c r="A281" s="355">
        <f t="shared" si="3"/>
        <v>50</v>
      </c>
      <c r="B281" s="97">
        <v>45885.0</v>
      </c>
      <c r="C281" s="57" t="s">
        <v>208</v>
      </c>
      <c r="D281" s="57" t="s">
        <v>497</v>
      </c>
      <c r="E281" s="57" t="s">
        <v>228</v>
      </c>
      <c r="F281" s="57" t="s">
        <v>498</v>
      </c>
      <c r="G281" s="57">
        <v>7.0454323025E10</v>
      </c>
      <c r="H281" s="57">
        <v>7.0594863125E10</v>
      </c>
      <c r="I281" s="109"/>
      <c r="J281" s="109"/>
      <c r="K281" s="57" t="s">
        <v>499</v>
      </c>
      <c r="L281" s="109"/>
      <c r="M281" s="57" t="s">
        <v>881</v>
      </c>
      <c r="N281" s="57" t="s">
        <v>507</v>
      </c>
      <c r="O281" s="57" t="s">
        <v>497</v>
      </c>
      <c r="P281" s="57" t="s">
        <v>498</v>
      </c>
      <c r="Q281" s="109"/>
      <c r="R281" s="57" t="s">
        <v>512</v>
      </c>
      <c r="S281" s="57" t="s">
        <v>497</v>
      </c>
      <c r="T281" s="109"/>
      <c r="U281" s="57" t="s">
        <v>508</v>
      </c>
    </row>
    <row r="282">
      <c r="A282" s="355">
        <f t="shared" si="3"/>
        <v>51</v>
      </c>
      <c r="B282" s="97">
        <v>45895.0</v>
      </c>
      <c r="C282" s="57" t="s">
        <v>181</v>
      </c>
      <c r="D282" s="57" t="s">
        <v>497</v>
      </c>
      <c r="E282" s="57" t="s">
        <v>228</v>
      </c>
      <c r="F282" s="57" t="s">
        <v>498</v>
      </c>
      <c r="G282" s="57">
        <v>7.0881487325E10</v>
      </c>
      <c r="H282" s="57">
        <v>7.0333303325E10</v>
      </c>
      <c r="I282" s="109"/>
      <c r="J282" s="109"/>
      <c r="K282" s="57" t="s">
        <v>499</v>
      </c>
      <c r="L282" s="109"/>
      <c r="M282" s="57" t="s">
        <v>882</v>
      </c>
      <c r="N282" s="57" t="s">
        <v>507</v>
      </c>
      <c r="O282" s="109"/>
      <c r="P282" s="109"/>
      <c r="Q282" s="109"/>
      <c r="R282" s="57" t="s">
        <v>508</v>
      </c>
      <c r="S282" s="57"/>
      <c r="T282" s="109"/>
      <c r="U282" s="57" t="s">
        <v>519</v>
      </c>
    </row>
    <row r="283">
      <c r="A283" s="355">
        <f t="shared" si="3"/>
        <v>52</v>
      </c>
      <c r="B283" s="97">
        <v>45887.0</v>
      </c>
      <c r="C283" s="57" t="s">
        <v>147</v>
      </c>
      <c r="D283" s="57" t="s">
        <v>503</v>
      </c>
      <c r="E283" s="57" t="s">
        <v>228</v>
      </c>
      <c r="F283" s="57" t="s">
        <v>498</v>
      </c>
      <c r="G283" s="57">
        <v>7.0313153125E10</v>
      </c>
      <c r="H283" s="57">
        <v>7.0766863125E10</v>
      </c>
      <c r="I283" s="109"/>
      <c r="J283" s="109"/>
      <c r="K283" s="57" t="s">
        <v>499</v>
      </c>
      <c r="L283" s="57">
        <v>861020.0</v>
      </c>
      <c r="M283" s="57" t="s">
        <v>874</v>
      </c>
      <c r="N283" s="57" t="s">
        <v>507</v>
      </c>
      <c r="O283" s="109"/>
      <c r="P283" s="109"/>
      <c r="Q283" s="109"/>
      <c r="R283" s="109"/>
      <c r="S283" s="57"/>
      <c r="T283" s="109"/>
      <c r="U283" s="109"/>
    </row>
    <row r="284">
      <c r="A284" s="355">
        <f t="shared" si="3"/>
        <v>53</v>
      </c>
      <c r="B284" s="97">
        <v>45895.0</v>
      </c>
      <c r="C284" s="57" t="s">
        <v>181</v>
      </c>
      <c r="D284" s="57" t="s">
        <v>497</v>
      </c>
      <c r="E284" s="57" t="s">
        <v>228</v>
      </c>
      <c r="F284" s="57" t="s">
        <v>498</v>
      </c>
      <c r="G284" s="57">
        <v>7.0881487325E10</v>
      </c>
      <c r="H284" s="57">
        <v>7.0333303325E10</v>
      </c>
      <c r="I284" s="109"/>
      <c r="J284" s="109"/>
      <c r="K284" s="57" t="s">
        <v>499</v>
      </c>
      <c r="L284" s="109"/>
      <c r="M284" s="57" t="s">
        <v>882</v>
      </c>
      <c r="N284" s="57" t="s">
        <v>507</v>
      </c>
      <c r="O284" s="109"/>
      <c r="P284" s="57" t="s">
        <v>498</v>
      </c>
      <c r="Q284" s="109"/>
      <c r="R284" s="57" t="s">
        <v>508</v>
      </c>
      <c r="S284" s="57"/>
      <c r="T284" s="109"/>
      <c r="U284" s="57" t="s">
        <v>519</v>
      </c>
    </row>
    <row r="285">
      <c r="A285" s="355">
        <f t="shared" si="3"/>
        <v>54</v>
      </c>
      <c r="B285" s="97">
        <v>45897.0</v>
      </c>
      <c r="C285" s="57" t="s">
        <v>155</v>
      </c>
      <c r="D285" s="57" t="s">
        <v>503</v>
      </c>
      <c r="E285" s="57" t="s">
        <v>228</v>
      </c>
      <c r="F285" s="57" t="s">
        <v>498</v>
      </c>
      <c r="G285" s="57">
        <v>7.0110053225E10</v>
      </c>
      <c r="H285" s="57">
        <v>7.0807443125E10</v>
      </c>
      <c r="I285" s="109"/>
      <c r="J285" s="109"/>
      <c r="K285" s="57" t="s">
        <v>499</v>
      </c>
      <c r="L285" s="57">
        <v>638774.0</v>
      </c>
      <c r="M285" s="109"/>
      <c r="N285" s="57" t="s">
        <v>507</v>
      </c>
      <c r="O285" s="109"/>
      <c r="P285" s="109"/>
      <c r="Q285" s="109"/>
      <c r="R285" s="109"/>
      <c r="S285" s="57"/>
      <c r="T285" s="109"/>
      <c r="U285" s="109"/>
    </row>
    <row r="286">
      <c r="A286" s="355">
        <f t="shared" si="3"/>
        <v>55</v>
      </c>
      <c r="B286" s="97">
        <v>45897.0</v>
      </c>
      <c r="C286" s="57" t="s">
        <v>187</v>
      </c>
      <c r="D286" s="57" t="s">
        <v>497</v>
      </c>
      <c r="E286" s="57" t="s">
        <v>228</v>
      </c>
      <c r="F286" s="57" t="s">
        <v>498</v>
      </c>
      <c r="G286" s="57">
        <v>7.0931523325E10</v>
      </c>
      <c r="H286" s="57">
        <v>7.0197323425E10</v>
      </c>
      <c r="I286" s="109"/>
      <c r="J286" s="109"/>
      <c r="K286" s="57" t="s">
        <v>499</v>
      </c>
      <c r="L286" s="109"/>
      <c r="M286" s="57" t="s">
        <v>883</v>
      </c>
      <c r="N286" s="57" t="s">
        <v>507</v>
      </c>
      <c r="O286" s="109"/>
      <c r="P286" s="109"/>
      <c r="Q286" s="109"/>
      <c r="R286" s="109"/>
      <c r="S286" s="57"/>
      <c r="T286" s="109"/>
      <c r="U286" s="109"/>
    </row>
    <row r="287">
      <c r="A287" s="355">
        <f t="shared" si="3"/>
        <v>56</v>
      </c>
      <c r="B287" s="97">
        <v>45897.0</v>
      </c>
      <c r="C287" s="57" t="s">
        <v>143</v>
      </c>
      <c r="D287" s="57" t="s">
        <v>497</v>
      </c>
      <c r="E287" s="57" t="s">
        <v>228</v>
      </c>
      <c r="F287" s="57" t="s">
        <v>498</v>
      </c>
      <c r="G287" s="57">
        <v>7.0074474524E10</v>
      </c>
      <c r="H287" s="57">
        <v>7.0089124624E10</v>
      </c>
      <c r="I287" s="109"/>
      <c r="J287" s="109"/>
      <c r="K287" s="57" t="s">
        <v>506</v>
      </c>
      <c r="L287" s="109"/>
      <c r="M287" s="57" t="s">
        <v>359</v>
      </c>
      <c r="N287" s="57" t="s">
        <v>507</v>
      </c>
      <c r="O287" s="109"/>
      <c r="P287" s="109"/>
      <c r="Q287" s="109"/>
      <c r="R287" s="109"/>
      <c r="S287" s="57"/>
      <c r="T287" s="109"/>
      <c r="U287" s="109"/>
    </row>
    <row r="288">
      <c r="A288" s="355">
        <f t="shared" si="3"/>
        <v>57</v>
      </c>
      <c r="B288" s="97">
        <v>45899.0</v>
      </c>
      <c r="C288" s="57" t="s">
        <v>168</v>
      </c>
      <c r="D288" s="57" t="s">
        <v>503</v>
      </c>
      <c r="E288" s="57" t="s">
        <v>228</v>
      </c>
      <c r="F288" s="57" t="s">
        <v>498</v>
      </c>
      <c r="G288" s="57">
        <v>7.01207413325E11</v>
      </c>
      <c r="H288" s="57">
        <v>7.0008263325E10</v>
      </c>
      <c r="I288" s="109"/>
      <c r="J288" s="109"/>
      <c r="K288" s="57" t="s">
        <v>499</v>
      </c>
      <c r="L288" s="109"/>
      <c r="M288" s="57" t="s">
        <v>335</v>
      </c>
      <c r="N288" s="57" t="s">
        <v>507</v>
      </c>
      <c r="O288" s="109"/>
      <c r="P288" s="109"/>
      <c r="Q288" s="109"/>
      <c r="R288" s="109"/>
      <c r="S288" s="57"/>
      <c r="T288" s="109"/>
      <c r="U288" s="109"/>
    </row>
    <row r="289">
      <c r="A289" s="355">
        <f t="shared" si="3"/>
        <v>58</v>
      </c>
      <c r="B289" s="97">
        <v>45905.0</v>
      </c>
      <c r="C289" s="57" t="s">
        <v>159</v>
      </c>
      <c r="D289" s="57" t="s">
        <v>538</v>
      </c>
      <c r="E289" s="57" t="s">
        <v>228</v>
      </c>
      <c r="F289" s="57" t="s">
        <v>498</v>
      </c>
      <c r="G289" s="57">
        <v>7.0045253325E10</v>
      </c>
      <c r="H289" s="57">
        <v>7.0045843325E10</v>
      </c>
      <c r="I289" s="109"/>
      <c r="J289" s="109"/>
      <c r="K289" s="57" t="s">
        <v>499</v>
      </c>
      <c r="L289" s="109"/>
      <c r="M289" s="109"/>
      <c r="N289" s="57" t="s">
        <v>507</v>
      </c>
      <c r="O289" s="109"/>
      <c r="P289" s="109"/>
      <c r="Q289" s="109"/>
      <c r="R289" s="109"/>
      <c r="S289" s="57"/>
      <c r="T289" s="109"/>
      <c r="U289" s="109"/>
      <c r="V289" s="2" t="s">
        <v>260</v>
      </c>
    </row>
    <row r="290">
      <c r="A290" s="355">
        <f t="shared" si="3"/>
        <v>59</v>
      </c>
      <c r="B290" s="97">
        <v>45905.0</v>
      </c>
      <c r="C290" s="57" t="s">
        <v>57</v>
      </c>
      <c r="D290" s="57" t="s">
        <v>538</v>
      </c>
      <c r="E290" s="57" t="s">
        <v>228</v>
      </c>
      <c r="F290" s="57" t="s">
        <v>498</v>
      </c>
      <c r="G290" s="57">
        <v>7.0042343325E10</v>
      </c>
      <c r="H290" s="57">
        <v>7.0046373325E10</v>
      </c>
      <c r="I290" s="109"/>
      <c r="J290" s="109"/>
      <c r="K290" s="57" t="s">
        <v>499</v>
      </c>
      <c r="L290" s="109"/>
      <c r="M290" s="57" t="s">
        <v>850</v>
      </c>
      <c r="N290" s="57" t="s">
        <v>507</v>
      </c>
      <c r="O290" s="57" t="s">
        <v>497</v>
      </c>
      <c r="P290" s="57" t="s">
        <v>505</v>
      </c>
      <c r="Q290" s="109"/>
      <c r="R290" s="109"/>
      <c r="S290" s="57"/>
      <c r="T290" s="57" t="s">
        <v>260</v>
      </c>
      <c r="U290" s="109"/>
    </row>
    <row r="291">
      <c r="A291" s="355">
        <f t="shared" si="3"/>
        <v>60</v>
      </c>
      <c r="B291" s="97">
        <v>45909.0</v>
      </c>
      <c r="C291" s="57" t="s">
        <v>147</v>
      </c>
      <c r="D291" s="57" t="s">
        <v>503</v>
      </c>
      <c r="E291" s="57" t="s">
        <v>228</v>
      </c>
      <c r="F291" s="57" t="s">
        <v>498</v>
      </c>
      <c r="G291" s="57">
        <v>7.0361703425E10</v>
      </c>
      <c r="H291" s="57">
        <v>7.03118593425E11</v>
      </c>
      <c r="I291" s="109"/>
      <c r="J291" s="109"/>
      <c r="K291" s="57" t="s">
        <v>506</v>
      </c>
      <c r="L291" s="57">
        <v>867819.0</v>
      </c>
      <c r="M291" s="57" t="s">
        <v>332</v>
      </c>
      <c r="N291" s="57" t="s">
        <v>507</v>
      </c>
      <c r="O291" s="57" t="s">
        <v>503</v>
      </c>
      <c r="P291" s="57" t="s">
        <v>498</v>
      </c>
      <c r="Q291" s="109"/>
      <c r="R291" s="57" t="s">
        <v>519</v>
      </c>
      <c r="S291" s="57" t="s">
        <v>503</v>
      </c>
      <c r="T291" s="109"/>
      <c r="U291" s="57" t="s">
        <v>519</v>
      </c>
    </row>
    <row r="292">
      <c r="A292" s="355">
        <f t="shared" si="3"/>
        <v>61</v>
      </c>
      <c r="B292" s="97">
        <v>45912.0</v>
      </c>
      <c r="C292" s="57" t="s">
        <v>132</v>
      </c>
      <c r="D292" s="57" t="s">
        <v>503</v>
      </c>
      <c r="E292" s="57" t="s">
        <v>228</v>
      </c>
      <c r="F292" s="57" t="s">
        <v>498</v>
      </c>
      <c r="G292" s="57">
        <v>7.0168733425E10</v>
      </c>
      <c r="H292" s="57">
        <v>7.0103423225E10</v>
      </c>
      <c r="I292" s="109"/>
      <c r="J292" s="109"/>
      <c r="K292" s="57" t="s">
        <v>499</v>
      </c>
      <c r="L292" s="57">
        <v>666167.0</v>
      </c>
      <c r="M292" s="57" t="s">
        <v>884</v>
      </c>
      <c r="N292" s="57" t="s">
        <v>507</v>
      </c>
      <c r="O292" s="109"/>
      <c r="P292" s="109"/>
      <c r="Q292" s="109"/>
      <c r="R292" s="109"/>
      <c r="S292" s="57"/>
      <c r="T292" s="109"/>
      <c r="U292" s="109"/>
      <c r="V292" s="2" t="s">
        <v>885</v>
      </c>
      <c r="W292" s="2">
        <f>5000+1200</f>
        <v>6200</v>
      </c>
    </row>
    <row r="293">
      <c r="A293" s="355">
        <f t="shared" si="3"/>
        <v>62</v>
      </c>
      <c r="B293" s="97">
        <v>45918.0</v>
      </c>
      <c r="C293" s="57" t="s">
        <v>57</v>
      </c>
      <c r="D293" s="57" t="s">
        <v>503</v>
      </c>
      <c r="E293" s="57" t="s">
        <v>228</v>
      </c>
      <c r="F293" s="57" t="s">
        <v>498</v>
      </c>
      <c r="G293" s="57">
        <v>7.0357943425E10</v>
      </c>
      <c r="H293" s="57">
        <v>7.0361373425E10</v>
      </c>
      <c r="I293" s="109"/>
      <c r="J293" s="109"/>
      <c r="K293" s="57" t="s">
        <v>499</v>
      </c>
      <c r="L293" s="57">
        <v>691640.0</v>
      </c>
      <c r="M293" s="57" t="s">
        <v>850</v>
      </c>
      <c r="N293" s="57" t="s">
        <v>507</v>
      </c>
      <c r="O293" s="109"/>
      <c r="P293" s="109"/>
      <c r="Q293" s="109"/>
      <c r="R293" s="109"/>
      <c r="S293" s="57"/>
      <c r="T293" s="109"/>
      <c r="U293" s="109"/>
      <c r="V293" s="2" t="s">
        <v>260</v>
      </c>
    </row>
    <row r="294">
      <c r="A294" s="355">
        <f t="shared" si="3"/>
        <v>63</v>
      </c>
      <c r="B294" s="97">
        <v>45918.0</v>
      </c>
      <c r="C294" s="57" t="s">
        <v>57</v>
      </c>
      <c r="D294" s="57" t="s">
        <v>503</v>
      </c>
      <c r="E294" s="57" t="s">
        <v>228</v>
      </c>
      <c r="F294" s="57" t="s">
        <v>498</v>
      </c>
      <c r="G294" s="57">
        <v>7.0384873325E10</v>
      </c>
      <c r="H294" s="57">
        <v>7.0186533425E10</v>
      </c>
      <c r="I294" s="109"/>
      <c r="J294" s="109"/>
      <c r="K294" s="57" t="s">
        <v>506</v>
      </c>
      <c r="L294" s="57">
        <v>691640.0</v>
      </c>
      <c r="M294" s="57" t="s">
        <v>850</v>
      </c>
      <c r="N294" s="57" t="s">
        <v>507</v>
      </c>
      <c r="O294" s="109"/>
      <c r="P294" s="109"/>
      <c r="Q294" s="109"/>
      <c r="R294" s="109"/>
      <c r="S294" s="57"/>
      <c r="T294" s="109"/>
      <c r="U294" s="109"/>
      <c r="V294" s="2" t="s">
        <v>260</v>
      </c>
    </row>
    <row r="295">
      <c r="A295" s="355">
        <f t="shared" si="3"/>
        <v>64</v>
      </c>
      <c r="B295" s="97">
        <v>45920.0</v>
      </c>
      <c r="C295" s="57" t="s">
        <v>143</v>
      </c>
      <c r="D295" s="57" t="s">
        <v>538</v>
      </c>
      <c r="E295" s="57" t="s">
        <v>228</v>
      </c>
      <c r="F295" s="57" t="s">
        <v>498</v>
      </c>
      <c r="G295" s="57">
        <v>7.0336283125E10</v>
      </c>
      <c r="H295" s="57">
        <v>7.0336263125E10</v>
      </c>
      <c r="I295" s="109"/>
      <c r="J295" s="109"/>
      <c r="K295" s="57" t="s">
        <v>506</v>
      </c>
      <c r="L295" s="57">
        <v>795433.0</v>
      </c>
      <c r="M295" s="57" t="s">
        <v>590</v>
      </c>
      <c r="N295" s="57" t="s">
        <v>507</v>
      </c>
      <c r="O295" s="109"/>
      <c r="P295" s="57" t="s">
        <v>498</v>
      </c>
      <c r="Q295" s="109"/>
      <c r="R295" s="57" t="s">
        <v>512</v>
      </c>
      <c r="S295" s="57"/>
      <c r="T295" s="109"/>
      <c r="U295" s="57" t="s">
        <v>500</v>
      </c>
    </row>
    <row r="296">
      <c r="A296" s="355">
        <f t="shared" si="3"/>
        <v>65</v>
      </c>
      <c r="B296" s="97">
        <v>45924.0</v>
      </c>
      <c r="C296" s="57" t="s">
        <v>160</v>
      </c>
      <c r="D296" s="57" t="s">
        <v>503</v>
      </c>
      <c r="E296" s="57" t="s">
        <v>228</v>
      </c>
      <c r="F296" s="57" t="s">
        <v>498</v>
      </c>
      <c r="G296" s="57" t="s">
        <v>886</v>
      </c>
      <c r="H296" s="57" t="s">
        <v>887</v>
      </c>
      <c r="I296" s="109"/>
      <c r="J296" s="109"/>
      <c r="K296" s="57" t="s">
        <v>499</v>
      </c>
      <c r="L296" s="109"/>
      <c r="M296" s="57" t="s">
        <v>888</v>
      </c>
      <c r="N296" s="57" t="s">
        <v>507</v>
      </c>
      <c r="O296" s="109"/>
      <c r="P296" s="109"/>
      <c r="Q296" s="109"/>
      <c r="R296" s="109"/>
      <c r="S296" s="57"/>
      <c r="T296" s="109"/>
      <c r="U296" s="109"/>
      <c r="V296" s="2" t="s">
        <v>260</v>
      </c>
    </row>
    <row r="297">
      <c r="A297" s="355">
        <f t="shared" si="3"/>
        <v>66</v>
      </c>
      <c r="B297" s="406">
        <v>45934.0</v>
      </c>
      <c r="C297" s="57" t="s">
        <v>147</v>
      </c>
      <c r="D297" s="57" t="s">
        <v>538</v>
      </c>
      <c r="E297" s="57" t="s">
        <v>228</v>
      </c>
      <c r="F297" s="57" t="s">
        <v>498</v>
      </c>
      <c r="G297" s="57">
        <v>7.0042473925E10</v>
      </c>
      <c r="H297" s="57">
        <v>7.0042873925E10</v>
      </c>
      <c r="I297" s="109"/>
      <c r="J297" s="109"/>
      <c r="K297" s="57" t="s">
        <v>499</v>
      </c>
      <c r="L297" s="57">
        <v>874830.0</v>
      </c>
      <c r="M297" s="57" t="s">
        <v>332</v>
      </c>
      <c r="N297" s="57" t="s">
        <v>507</v>
      </c>
      <c r="O297" s="109"/>
      <c r="P297" s="109"/>
      <c r="Q297" s="109"/>
      <c r="R297" s="109"/>
      <c r="S297" s="57"/>
      <c r="T297" s="109"/>
      <c r="U297" s="109"/>
    </row>
    <row r="298">
      <c r="A298" s="355">
        <f t="shared" si="3"/>
        <v>67</v>
      </c>
      <c r="B298" s="406">
        <v>45941.0</v>
      </c>
      <c r="C298" s="57" t="s">
        <v>160</v>
      </c>
      <c r="D298" s="57" t="s">
        <v>503</v>
      </c>
      <c r="E298" s="57" t="s">
        <v>228</v>
      </c>
      <c r="F298" s="57" t="s">
        <v>498</v>
      </c>
      <c r="G298" s="57" t="s">
        <v>889</v>
      </c>
      <c r="H298" s="57" t="s">
        <v>890</v>
      </c>
      <c r="I298" s="109"/>
      <c r="J298" s="109"/>
      <c r="K298" s="57" t="s">
        <v>499</v>
      </c>
      <c r="L298" s="109"/>
      <c r="M298" s="57" t="s">
        <v>600</v>
      </c>
      <c r="N298" s="57" t="s">
        <v>507</v>
      </c>
      <c r="O298" s="109"/>
      <c r="P298" s="109"/>
      <c r="Q298" s="109"/>
      <c r="R298" s="109"/>
      <c r="S298" s="57"/>
      <c r="T298" s="109"/>
      <c r="U298" s="109"/>
      <c r="V298" s="2" t="s">
        <v>260</v>
      </c>
    </row>
    <row r="299">
      <c r="A299" s="355">
        <f t="shared" si="3"/>
        <v>68</v>
      </c>
      <c r="B299" s="406">
        <v>45954.0</v>
      </c>
      <c r="C299" s="57" t="s">
        <v>155</v>
      </c>
      <c r="D299" s="57" t="s">
        <v>538</v>
      </c>
      <c r="E299" s="57" t="s">
        <v>228</v>
      </c>
      <c r="F299" s="57" t="s">
        <v>498</v>
      </c>
      <c r="G299" s="57">
        <v>7.0032723725E10</v>
      </c>
      <c r="H299" s="57">
        <v>7.0042823925E10</v>
      </c>
      <c r="I299" s="109"/>
      <c r="J299" s="109"/>
      <c r="K299" s="57" t="s">
        <v>499</v>
      </c>
      <c r="L299" s="109"/>
      <c r="M299" s="109"/>
      <c r="N299" s="57" t="s">
        <v>507</v>
      </c>
      <c r="O299" s="109"/>
      <c r="P299" s="109"/>
      <c r="Q299" s="109"/>
      <c r="R299" s="109"/>
      <c r="S299" s="57"/>
      <c r="T299" s="109"/>
      <c r="U299" s="109"/>
    </row>
    <row r="300">
      <c r="A300" s="355">
        <f t="shared" si="3"/>
        <v>69</v>
      </c>
      <c r="B300" s="406">
        <v>45957.0</v>
      </c>
      <c r="C300" s="57" t="s">
        <v>168</v>
      </c>
      <c r="D300" s="57" t="s">
        <v>538</v>
      </c>
      <c r="E300" s="57" t="s">
        <v>228</v>
      </c>
      <c r="F300" s="57" t="s">
        <v>498</v>
      </c>
      <c r="G300" s="57" t="s">
        <v>891</v>
      </c>
      <c r="H300" s="57" t="s">
        <v>892</v>
      </c>
      <c r="I300" s="109"/>
      <c r="J300" s="109"/>
      <c r="K300" s="57" t="s">
        <v>499</v>
      </c>
      <c r="L300" s="109"/>
      <c r="M300" s="109"/>
      <c r="N300" s="57" t="s">
        <v>507</v>
      </c>
      <c r="O300" s="109"/>
      <c r="P300" s="109"/>
      <c r="Q300" s="109"/>
      <c r="R300" s="109"/>
      <c r="S300" s="57"/>
      <c r="T300" s="109"/>
      <c r="U300" s="109"/>
    </row>
    <row r="301">
      <c r="A301" s="355">
        <f t="shared" si="3"/>
        <v>70</v>
      </c>
      <c r="B301" s="406">
        <v>45963.0</v>
      </c>
      <c r="C301" s="57" t="s">
        <v>104</v>
      </c>
      <c r="D301" s="57" t="s">
        <v>503</v>
      </c>
      <c r="E301" s="57" t="s">
        <v>512</v>
      </c>
      <c r="F301" s="57" t="s">
        <v>498</v>
      </c>
      <c r="G301" s="57">
        <v>7.0539331825E10</v>
      </c>
      <c r="H301" s="57">
        <v>7.0514321825E10</v>
      </c>
      <c r="I301" s="57" t="s">
        <v>541</v>
      </c>
      <c r="J301" s="57" t="s">
        <v>543</v>
      </c>
      <c r="K301" s="57" t="s">
        <v>893</v>
      </c>
      <c r="L301" s="57">
        <v>504033.0</v>
      </c>
      <c r="M301" s="109"/>
      <c r="N301" s="57" t="s">
        <v>507</v>
      </c>
      <c r="O301" s="109"/>
      <c r="P301" s="109"/>
      <c r="Q301" s="109"/>
      <c r="R301" s="109"/>
      <c r="S301" s="57"/>
      <c r="T301" s="109"/>
      <c r="U301" s="109"/>
    </row>
    <row r="302">
      <c r="A302" s="355">
        <f t="shared" si="3"/>
        <v>71</v>
      </c>
      <c r="B302" s="97">
        <v>45966.0</v>
      </c>
      <c r="C302" s="57" t="s">
        <v>132</v>
      </c>
      <c r="D302" s="57" t="s">
        <v>538</v>
      </c>
      <c r="E302" s="57" t="s">
        <v>228</v>
      </c>
      <c r="F302" s="57" t="s">
        <v>498</v>
      </c>
      <c r="G302" s="57">
        <v>7.0077321725E10</v>
      </c>
      <c r="H302" s="57">
        <v>7.0014221725E10</v>
      </c>
      <c r="I302" s="109"/>
      <c r="J302" s="109"/>
      <c r="K302" s="57" t="s">
        <v>499</v>
      </c>
      <c r="L302" s="109"/>
      <c r="M302" s="57" t="s">
        <v>749</v>
      </c>
      <c r="N302" s="57" t="s">
        <v>5</v>
      </c>
      <c r="O302" s="109"/>
      <c r="P302" s="109"/>
      <c r="Q302" s="109"/>
      <c r="R302" s="109"/>
      <c r="S302" s="57"/>
      <c r="T302" s="109"/>
      <c r="U302" s="109"/>
      <c r="V302" s="2" t="s">
        <v>260</v>
      </c>
    </row>
    <row r="303">
      <c r="A303" s="355">
        <f t="shared" si="3"/>
        <v>72</v>
      </c>
      <c r="B303" s="97">
        <v>45966.0</v>
      </c>
      <c r="C303" s="57" t="s">
        <v>159</v>
      </c>
      <c r="D303" s="57" t="s">
        <v>503</v>
      </c>
      <c r="E303" s="57" t="s">
        <v>228</v>
      </c>
      <c r="F303" s="57" t="s">
        <v>498</v>
      </c>
      <c r="G303" s="57">
        <v>7.0445064325E10</v>
      </c>
      <c r="H303" s="57" t="s">
        <v>894</v>
      </c>
      <c r="I303" s="109"/>
      <c r="J303" s="109"/>
      <c r="K303" s="57" t="s">
        <v>499</v>
      </c>
      <c r="L303" s="109"/>
      <c r="M303" s="57" t="s">
        <v>866</v>
      </c>
      <c r="N303" s="57" t="s">
        <v>507</v>
      </c>
      <c r="O303" s="109"/>
      <c r="P303" s="109"/>
      <c r="Q303" s="109"/>
      <c r="R303" s="109"/>
      <c r="S303" s="57"/>
      <c r="T303" s="109"/>
      <c r="U303" s="109"/>
      <c r="V303" s="2" t="s">
        <v>260</v>
      </c>
    </row>
    <row r="304">
      <c r="A304" s="355">
        <f t="shared" si="3"/>
        <v>73</v>
      </c>
      <c r="B304" s="97">
        <v>45969.0</v>
      </c>
      <c r="C304" s="57" t="s">
        <v>136</v>
      </c>
      <c r="D304" s="57" t="s">
        <v>503</v>
      </c>
      <c r="E304" s="57" t="s">
        <v>228</v>
      </c>
      <c r="F304" s="57" t="s">
        <v>498</v>
      </c>
      <c r="G304" s="57" t="s">
        <v>895</v>
      </c>
      <c r="H304" s="57" t="s">
        <v>896</v>
      </c>
      <c r="I304" s="109"/>
      <c r="J304" s="57"/>
      <c r="K304" s="57" t="s">
        <v>499</v>
      </c>
      <c r="L304" s="109"/>
      <c r="M304" s="109"/>
      <c r="N304" s="57" t="s">
        <v>507</v>
      </c>
      <c r="O304" s="109"/>
      <c r="P304" s="109"/>
      <c r="Q304" s="109"/>
      <c r="R304" s="109"/>
      <c r="S304" s="57"/>
      <c r="T304" s="109"/>
      <c r="U304" s="109"/>
    </row>
    <row r="305">
      <c r="A305" s="355">
        <f t="shared" si="3"/>
        <v>74</v>
      </c>
      <c r="B305" s="406">
        <v>45982.0</v>
      </c>
      <c r="C305" s="57" t="s">
        <v>160</v>
      </c>
      <c r="D305" s="57" t="s">
        <v>497</v>
      </c>
      <c r="E305" s="57" t="s">
        <v>228</v>
      </c>
      <c r="F305" s="57" t="s">
        <v>498</v>
      </c>
      <c r="G305" s="57">
        <v>7.0136104625E10</v>
      </c>
      <c r="H305" s="57">
        <v>7.0496124425E10</v>
      </c>
      <c r="I305" s="109"/>
      <c r="J305" s="109"/>
      <c r="K305" s="57" t="s">
        <v>499</v>
      </c>
      <c r="L305" s="109"/>
      <c r="M305" s="407" t="s">
        <v>897</v>
      </c>
      <c r="N305" s="57" t="s">
        <v>507</v>
      </c>
      <c r="O305" s="109"/>
      <c r="P305" s="109"/>
      <c r="Q305" s="109"/>
      <c r="R305" s="109"/>
      <c r="S305" s="57"/>
      <c r="T305" s="109"/>
      <c r="U305" s="109"/>
      <c r="V305" s="2" t="s">
        <v>260</v>
      </c>
    </row>
    <row r="306">
      <c r="A306" s="355">
        <f t="shared" si="3"/>
        <v>75</v>
      </c>
      <c r="B306" s="406">
        <v>45983.0</v>
      </c>
      <c r="C306" s="57" t="s">
        <v>136</v>
      </c>
      <c r="D306" s="57" t="s">
        <v>497</v>
      </c>
      <c r="E306" s="57" t="s">
        <v>228</v>
      </c>
      <c r="F306" s="57" t="s">
        <v>498</v>
      </c>
      <c r="G306" s="57">
        <v>7.0158684625E10</v>
      </c>
      <c r="H306" s="57">
        <v>7.0019384625E10</v>
      </c>
      <c r="I306" s="109"/>
      <c r="J306" s="109"/>
      <c r="K306" s="57" t="s">
        <v>499</v>
      </c>
      <c r="L306" s="109"/>
      <c r="M306" s="109"/>
      <c r="N306" s="109"/>
      <c r="O306" s="109"/>
      <c r="P306" s="109"/>
      <c r="Q306" s="109"/>
      <c r="R306" s="109"/>
      <c r="S306" s="57"/>
      <c r="T306" s="109"/>
      <c r="U306" s="109"/>
      <c r="V306" s="2" t="s">
        <v>260</v>
      </c>
    </row>
    <row r="307">
      <c r="A307" s="355">
        <f t="shared" si="3"/>
        <v>76</v>
      </c>
      <c r="B307" s="406">
        <v>45990.0</v>
      </c>
      <c r="C307" s="57" t="s">
        <v>136</v>
      </c>
      <c r="D307" s="57" t="s">
        <v>503</v>
      </c>
      <c r="E307" s="57" t="s">
        <v>228</v>
      </c>
      <c r="F307" s="57" t="s">
        <v>498</v>
      </c>
      <c r="G307" s="57">
        <v>7.0019384625E10</v>
      </c>
      <c r="H307" s="57">
        <v>7.0158684625E10</v>
      </c>
      <c r="I307" s="109"/>
      <c r="J307" s="109"/>
      <c r="K307" s="57" t="s">
        <v>531</v>
      </c>
      <c r="L307" s="57">
        <v>805156.0</v>
      </c>
      <c r="M307" s="109"/>
      <c r="N307" s="57" t="s">
        <v>507</v>
      </c>
      <c r="O307" s="109"/>
      <c r="P307" s="109"/>
      <c r="Q307" s="109"/>
      <c r="R307" s="109"/>
      <c r="S307" s="57"/>
      <c r="T307" s="109"/>
      <c r="U307" s="109"/>
    </row>
    <row r="308">
      <c r="A308" s="355">
        <f t="shared" si="3"/>
        <v>77</v>
      </c>
      <c r="B308" s="406">
        <v>45990.0</v>
      </c>
      <c r="C308" s="57" t="s">
        <v>136</v>
      </c>
      <c r="D308" s="57" t="s">
        <v>503</v>
      </c>
      <c r="E308" s="57" t="s">
        <v>512</v>
      </c>
      <c r="F308" s="57" t="s">
        <v>498</v>
      </c>
      <c r="G308" s="57">
        <v>2.049851124E9</v>
      </c>
      <c r="H308" s="57">
        <v>7.029404424E9</v>
      </c>
      <c r="I308" s="109"/>
      <c r="J308" s="109"/>
      <c r="K308" s="57" t="s">
        <v>531</v>
      </c>
      <c r="L308" s="57">
        <v>805156.0</v>
      </c>
      <c r="M308" s="109"/>
      <c r="N308" s="57" t="s">
        <v>507</v>
      </c>
      <c r="O308" s="109"/>
      <c r="P308" s="109"/>
      <c r="Q308" s="109"/>
      <c r="R308" s="109"/>
      <c r="S308" s="57"/>
      <c r="T308" s="109"/>
      <c r="U308" s="109"/>
    </row>
    <row r="309">
      <c r="A309" s="355">
        <f t="shared" si="3"/>
        <v>78</v>
      </c>
      <c r="B309" s="406">
        <v>45991.0</v>
      </c>
      <c r="C309" s="57" t="s">
        <v>120</v>
      </c>
      <c r="D309" s="57" t="s">
        <v>503</v>
      </c>
      <c r="E309" s="57" t="s">
        <v>512</v>
      </c>
      <c r="F309" s="57" t="s">
        <v>498</v>
      </c>
      <c r="G309" s="57">
        <v>7.0263382125E10</v>
      </c>
      <c r="H309" s="57">
        <v>7.0595731225E10</v>
      </c>
      <c r="I309" s="57" t="s">
        <v>543</v>
      </c>
      <c r="J309" s="57" t="s">
        <v>541</v>
      </c>
      <c r="K309" s="57" t="s">
        <v>893</v>
      </c>
      <c r="L309" s="57">
        <v>760327.0</v>
      </c>
      <c r="M309" s="109"/>
      <c r="N309" s="57" t="s">
        <v>507</v>
      </c>
      <c r="O309" s="109"/>
      <c r="P309" s="109"/>
      <c r="Q309" s="109"/>
      <c r="R309" s="109"/>
      <c r="S309" s="57"/>
      <c r="T309" s="109"/>
      <c r="U309" s="109"/>
    </row>
    <row r="310">
      <c r="A310" s="355">
        <f t="shared" si="3"/>
        <v>79</v>
      </c>
      <c r="B310" s="97">
        <v>45992.0</v>
      </c>
      <c r="C310" s="109"/>
      <c r="D310" s="57"/>
      <c r="E310" s="109"/>
      <c r="F310" s="109"/>
      <c r="G310" s="100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57"/>
      <c r="T310" s="109"/>
      <c r="U310" s="109"/>
      <c r="V310" s="57">
        <v>2595.0</v>
      </c>
    </row>
    <row r="311">
      <c r="A311" s="355">
        <f>A354+1</f>
        <v>119</v>
      </c>
      <c r="B311" s="406">
        <v>45993.0</v>
      </c>
      <c r="C311" s="57" t="s">
        <v>104</v>
      </c>
      <c r="D311" s="57" t="s">
        <v>503</v>
      </c>
      <c r="E311" s="57" t="s">
        <v>228</v>
      </c>
      <c r="F311" s="57" t="s">
        <v>498</v>
      </c>
      <c r="G311" s="57">
        <v>7.0539331825E10</v>
      </c>
      <c r="H311" s="57">
        <v>7.0514321325E10</v>
      </c>
      <c r="I311" s="109"/>
      <c r="J311" s="109"/>
      <c r="K311" s="57" t="s">
        <v>531</v>
      </c>
      <c r="L311" s="57">
        <v>504033.0</v>
      </c>
      <c r="M311" s="57" t="s">
        <v>898</v>
      </c>
      <c r="N311" s="57" t="s">
        <v>507</v>
      </c>
      <c r="O311" s="109"/>
      <c r="P311" s="109"/>
      <c r="Q311" s="109"/>
      <c r="R311" s="109"/>
      <c r="S311" s="57"/>
      <c r="T311" s="109"/>
      <c r="U311" s="109"/>
    </row>
    <row r="312">
      <c r="A312" s="355">
        <f>A310+1</f>
        <v>80</v>
      </c>
      <c r="B312" s="97">
        <v>45996.0</v>
      </c>
      <c r="C312" s="57" t="s">
        <v>93</v>
      </c>
      <c r="D312" s="57" t="s">
        <v>538</v>
      </c>
      <c r="E312" s="57" t="s">
        <v>228</v>
      </c>
      <c r="F312" s="57" t="s">
        <v>498</v>
      </c>
      <c r="G312" s="57">
        <v>7.0168184625E10</v>
      </c>
      <c r="H312" s="57">
        <v>7.0167344625E10</v>
      </c>
      <c r="I312" s="109"/>
      <c r="J312" s="109"/>
      <c r="K312" s="57" t="s">
        <v>499</v>
      </c>
      <c r="L312" s="109"/>
      <c r="M312" s="109"/>
      <c r="N312" s="57" t="s">
        <v>507</v>
      </c>
      <c r="O312" s="109"/>
      <c r="P312" s="109"/>
      <c r="Q312" s="109"/>
      <c r="R312" s="109"/>
      <c r="S312" s="57"/>
      <c r="T312" s="109"/>
      <c r="U312" s="109"/>
      <c r="V312" s="2" t="s">
        <v>260</v>
      </c>
    </row>
    <row r="313">
      <c r="A313" s="355">
        <f t="shared" ref="A313:A314" si="4">A312+1</f>
        <v>81</v>
      </c>
      <c r="B313" s="97">
        <v>46000.0</v>
      </c>
      <c r="C313" s="57" t="s">
        <v>104</v>
      </c>
      <c r="D313" s="57" t="s">
        <v>503</v>
      </c>
      <c r="E313" s="57" t="s">
        <v>228</v>
      </c>
      <c r="F313" s="57" t="s">
        <v>498</v>
      </c>
      <c r="G313" s="57" t="s">
        <v>899</v>
      </c>
      <c r="H313" s="57" t="s">
        <v>900</v>
      </c>
      <c r="I313" s="109"/>
      <c r="J313" s="109"/>
      <c r="K313" s="57" t="s">
        <v>499</v>
      </c>
      <c r="L313" s="109"/>
      <c r="M313" s="109"/>
      <c r="N313" s="57" t="s">
        <v>507</v>
      </c>
      <c r="O313" s="109"/>
      <c r="P313" s="109"/>
      <c r="Q313" s="109"/>
      <c r="R313" s="109"/>
      <c r="S313" s="57"/>
      <c r="T313" s="109"/>
      <c r="U313" s="109"/>
      <c r="V313" s="2" t="s">
        <v>260</v>
      </c>
    </row>
    <row r="314">
      <c r="A314" s="355">
        <f t="shared" si="4"/>
        <v>82</v>
      </c>
      <c r="B314" s="97">
        <v>46000.0</v>
      </c>
      <c r="C314" s="57" t="s">
        <v>143</v>
      </c>
      <c r="D314" s="57" t="s">
        <v>503</v>
      </c>
      <c r="E314" s="57" t="s">
        <v>228</v>
      </c>
      <c r="F314" s="57" t="s">
        <v>498</v>
      </c>
      <c r="G314" s="57" t="s">
        <v>901</v>
      </c>
      <c r="H314" s="57" t="s">
        <v>902</v>
      </c>
      <c r="I314" s="109"/>
      <c r="J314" s="109"/>
      <c r="K314" s="57" t="s">
        <v>499</v>
      </c>
      <c r="L314" s="109"/>
      <c r="M314" s="109"/>
      <c r="N314" s="57" t="s">
        <v>507</v>
      </c>
      <c r="O314" s="109"/>
      <c r="P314" s="109"/>
      <c r="Q314" s="109"/>
      <c r="R314" s="109"/>
      <c r="S314" s="57"/>
      <c r="T314" s="109"/>
      <c r="U314" s="109"/>
      <c r="V314" s="2" t="s">
        <v>903</v>
      </c>
    </row>
    <row r="315">
      <c r="A315" s="355">
        <f>A311+1</f>
        <v>120</v>
      </c>
      <c r="B315" s="97">
        <v>46007.0</v>
      </c>
      <c r="C315" s="57" t="s">
        <v>104</v>
      </c>
      <c r="D315" s="57" t="s">
        <v>503</v>
      </c>
      <c r="E315" s="57" t="s">
        <v>228</v>
      </c>
      <c r="F315" s="57" t="s">
        <v>505</v>
      </c>
      <c r="G315" s="57">
        <v>7.0003084924E10</v>
      </c>
      <c r="H315" s="100"/>
      <c r="I315" s="109"/>
      <c r="J315" s="109"/>
      <c r="K315" s="57" t="s">
        <v>531</v>
      </c>
      <c r="L315" s="57">
        <v>497970.0</v>
      </c>
      <c r="M315" s="57" t="s">
        <v>898</v>
      </c>
      <c r="N315" s="57" t="s">
        <v>507</v>
      </c>
      <c r="O315" s="109"/>
      <c r="P315" s="109"/>
      <c r="Q315" s="109"/>
      <c r="R315" s="109"/>
      <c r="S315" s="57"/>
      <c r="T315" s="109"/>
      <c r="U315" s="109"/>
    </row>
    <row r="316">
      <c r="A316" s="355">
        <f>A314+1</f>
        <v>83</v>
      </c>
      <c r="B316" s="406">
        <v>46009.0</v>
      </c>
      <c r="C316" s="57" t="s">
        <v>104</v>
      </c>
      <c r="D316" s="57" t="s">
        <v>503</v>
      </c>
      <c r="E316" s="57" t="s">
        <v>228</v>
      </c>
      <c r="F316" s="57" t="s">
        <v>498</v>
      </c>
      <c r="G316" s="57">
        <v>7.0588350825E10</v>
      </c>
      <c r="H316" s="57">
        <v>7.0468031225E10</v>
      </c>
      <c r="I316" s="109"/>
      <c r="J316" s="109"/>
      <c r="K316" s="57" t="s">
        <v>531</v>
      </c>
      <c r="L316" s="109"/>
      <c r="M316" s="109"/>
      <c r="N316" s="109"/>
      <c r="O316" s="109"/>
      <c r="P316" s="109"/>
      <c r="Q316" s="109"/>
      <c r="R316" s="109"/>
      <c r="S316" s="57"/>
      <c r="T316" s="109"/>
      <c r="U316" s="109"/>
      <c r="V316" s="2" t="s">
        <v>260</v>
      </c>
    </row>
    <row r="317">
      <c r="A317" s="355">
        <f t="shared" ref="A317:A319" si="5">A316+1</f>
        <v>84</v>
      </c>
      <c r="B317" s="406">
        <v>45990.0</v>
      </c>
      <c r="C317" s="57" t="s">
        <v>93</v>
      </c>
      <c r="D317" s="57" t="s">
        <v>503</v>
      </c>
      <c r="E317" s="57" t="s">
        <v>228</v>
      </c>
      <c r="F317" s="57" t="s">
        <v>498</v>
      </c>
      <c r="G317" s="57" t="s">
        <v>904</v>
      </c>
      <c r="H317" s="57" t="s">
        <v>905</v>
      </c>
      <c r="I317" s="109"/>
      <c r="J317" s="109"/>
      <c r="K317" s="57" t="s">
        <v>499</v>
      </c>
      <c r="L317" s="57">
        <v>821041.0</v>
      </c>
      <c r="M317" s="57" t="s">
        <v>906</v>
      </c>
      <c r="N317" s="57" t="s">
        <v>507</v>
      </c>
      <c r="O317" s="109"/>
      <c r="P317" s="109"/>
      <c r="Q317" s="109"/>
      <c r="R317" s="109"/>
      <c r="S317" s="57"/>
      <c r="T317" s="109"/>
      <c r="U317" s="109"/>
      <c r="V317" s="2" t="s">
        <v>907</v>
      </c>
    </row>
    <row r="318">
      <c r="A318" s="355">
        <f t="shared" si="5"/>
        <v>85</v>
      </c>
      <c r="B318" s="406">
        <v>46011.0</v>
      </c>
      <c r="C318" s="57" t="s">
        <v>121</v>
      </c>
      <c r="D318" s="57" t="s">
        <v>540</v>
      </c>
      <c r="E318" s="57" t="s">
        <v>228</v>
      </c>
      <c r="F318" s="57" t="s">
        <v>498</v>
      </c>
      <c r="G318" s="57">
        <v>7.0056594525E10</v>
      </c>
      <c r="H318" s="57">
        <v>7.0409044825E10</v>
      </c>
      <c r="I318" s="109"/>
      <c r="J318" s="109"/>
      <c r="K318" s="57" t="s">
        <v>499</v>
      </c>
      <c r="L318" s="57">
        <v>88948.0</v>
      </c>
      <c r="M318" s="57" t="s">
        <v>874</v>
      </c>
      <c r="N318" s="57" t="s">
        <v>507</v>
      </c>
      <c r="O318" s="109"/>
      <c r="P318" s="109"/>
      <c r="Q318" s="109"/>
      <c r="R318" s="109"/>
      <c r="S318" s="57"/>
      <c r="T318" s="109"/>
      <c r="U318" s="109"/>
      <c r="V318" s="2" t="s">
        <v>908</v>
      </c>
    </row>
    <row r="319">
      <c r="A319" s="355">
        <f t="shared" si="5"/>
        <v>86</v>
      </c>
      <c r="B319" s="406">
        <v>46007.0</v>
      </c>
      <c r="C319" s="57" t="s">
        <v>120</v>
      </c>
      <c r="D319" s="57" t="s">
        <v>503</v>
      </c>
      <c r="E319" s="57" t="s">
        <v>228</v>
      </c>
      <c r="F319" s="57" t="s">
        <v>498</v>
      </c>
      <c r="G319" s="57" t="s">
        <v>909</v>
      </c>
      <c r="H319" s="57" t="s">
        <v>910</v>
      </c>
      <c r="I319" s="109"/>
      <c r="J319" s="109"/>
      <c r="K319" s="57" t="s">
        <v>499</v>
      </c>
      <c r="L319" s="57">
        <v>764972.0</v>
      </c>
      <c r="M319" s="57" t="s">
        <v>911</v>
      </c>
      <c r="N319" s="57" t="s">
        <v>507</v>
      </c>
      <c r="O319" s="109"/>
      <c r="P319" s="109"/>
      <c r="Q319" s="109"/>
      <c r="R319" s="109"/>
      <c r="S319" s="57"/>
      <c r="T319" s="109"/>
      <c r="U319" s="109"/>
      <c r="V319" s="2" t="s">
        <v>912</v>
      </c>
    </row>
    <row r="320">
      <c r="A320" s="355">
        <f>A349+1</f>
        <v>122</v>
      </c>
      <c r="B320" s="406">
        <v>46009.0</v>
      </c>
      <c r="C320" s="57" t="s">
        <v>104</v>
      </c>
      <c r="D320" s="57" t="s">
        <v>503</v>
      </c>
      <c r="E320" s="57" t="s">
        <v>228</v>
      </c>
      <c r="F320" s="57" t="s">
        <v>498</v>
      </c>
      <c r="G320" s="57" t="s">
        <v>900</v>
      </c>
      <c r="H320" s="57" t="s">
        <v>899</v>
      </c>
      <c r="I320" s="109"/>
      <c r="J320" s="109"/>
      <c r="K320" s="57" t="s">
        <v>531</v>
      </c>
      <c r="L320" s="57">
        <v>507514.0</v>
      </c>
      <c r="M320" s="57" t="s">
        <v>898</v>
      </c>
      <c r="N320" s="57" t="s">
        <v>507</v>
      </c>
      <c r="O320" s="109"/>
      <c r="P320" s="109"/>
      <c r="Q320" s="109"/>
      <c r="R320" s="109"/>
      <c r="S320" s="57"/>
      <c r="T320" s="109"/>
      <c r="U320" s="109"/>
    </row>
    <row r="321">
      <c r="A321" s="355">
        <f>A319+1</f>
        <v>87</v>
      </c>
      <c r="B321" s="406">
        <v>46014.0</v>
      </c>
      <c r="C321" s="57" t="s">
        <v>181</v>
      </c>
      <c r="D321" s="57" t="s">
        <v>503</v>
      </c>
      <c r="E321" s="57" t="s">
        <v>228</v>
      </c>
      <c r="F321" s="57" t="s">
        <v>498</v>
      </c>
      <c r="G321" s="57">
        <v>7.0367003225E10</v>
      </c>
      <c r="H321" s="57">
        <v>7.0110063225E10</v>
      </c>
      <c r="I321" s="109"/>
      <c r="J321" s="109"/>
      <c r="K321" s="57" t="s">
        <v>499</v>
      </c>
      <c r="L321" s="109"/>
      <c r="M321" s="57" t="s">
        <v>882</v>
      </c>
      <c r="N321" s="57" t="s">
        <v>507</v>
      </c>
      <c r="O321" s="109"/>
      <c r="P321" s="109"/>
      <c r="Q321" s="109"/>
      <c r="R321" s="109"/>
      <c r="S321" s="57"/>
      <c r="T321" s="109"/>
      <c r="U321" s="109"/>
      <c r="V321" s="2" t="s">
        <v>260</v>
      </c>
    </row>
    <row r="322">
      <c r="A322" s="355">
        <f t="shared" ref="A322:A337" si="6">A321+1</f>
        <v>88</v>
      </c>
      <c r="B322" s="406">
        <v>46014.0</v>
      </c>
      <c r="C322" s="57" t="s">
        <v>181</v>
      </c>
      <c r="D322" s="57" t="s">
        <v>503</v>
      </c>
      <c r="E322" s="57" t="s">
        <v>228</v>
      </c>
      <c r="F322" s="57" t="s">
        <v>498</v>
      </c>
      <c r="G322" s="57">
        <v>7.0807353125E10</v>
      </c>
      <c r="H322" s="57">
        <v>7.0313163125E10</v>
      </c>
      <c r="I322" s="109"/>
      <c r="J322" s="109"/>
      <c r="K322" s="57" t="s">
        <v>499</v>
      </c>
      <c r="L322" s="109"/>
      <c r="M322" s="57" t="s">
        <v>882</v>
      </c>
      <c r="N322" s="57" t="s">
        <v>507</v>
      </c>
      <c r="O322" s="109"/>
      <c r="P322" s="109"/>
      <c r="Q322" s="109"/>
      <c r="R322" s="109"/>
      <c r="S322" s="57"/>
      <c r="T322" s="109"/>
      <c r="U322" s="109"/>
      <c r="V322" s="2" t="s">
        <v>260</v>
      </c>
    </row>
    <row r="323">
      <c r="A323" s="355">
        <f t="shared" si="6"/>
        <v>89</v>
      </c>
      <c r="B323" s="406">
        <v>46021.0</v>
      </c>
      <c r="C323" s="57" t="s">
        <v>147</v>
      </c>
      <c r="D323" s="109"/>
      <c r="E323" s="57" t="s">
        <v>228</v>
      </c>
      <c r="F323" s="57" t="s">
        <v>498</v>
      </c>
      <c r="G323" s="57" t="s">
        <v>913</v>
      </c>
      <c r="H323" s="57" t="s">
        <v>914</v>
      </c>
      <c r="I323" s="109"/>
      <c r="J323" s="109"/>
      <c r="K323" s="57" t="s">
        <v>531</v>
      </c>
      <c r="L323" s="57">
        <v>899415.0</v>
      </c>
      <c r="M323" s="57" t="s">
        <v>915</v>
      </c>
      <c r="N323" s="57" t="s">
        <v>507</v>
      </c>
      <c r="O323" s="109"/>
      <c r="P323" s="109"/>
      <c r="Q323" s="109"/>
      <c r="R323" s="109"/>
      <c r="S323" s="57"/>
      <c r="T323" s="109"/>
      <c r="U323" s="109"/>
    </row>
    <row r="324">
      <c r="A324" s="355">
        <f t="shared" si="6"/>
        <v>90</v>
      </c>
      <c r="B324" s="406">
        <v>46021.0</v>
      </c>
      <c r="C324" s="57" t="s">
        <v>147</v>
      </c>
      <c r="D324" s="109"/>
      <c r="E324" s="57" t="s">
        <v>512</v>
      </c>
      <c r="F324" s="57" t="s">
        <v>498</v>
      </c>
      <c r="G324" s="57" t="s">
        <v>916</v>
      </c>
      <c r="H324" s="100"/>
      <c r="I324" s="109"/>
      <c r="J324" s="109"/>
      <c r="K324" s="57" t="s">
        <v>531</v>
      </c>
      <c r="L324" s="57">
        <v>899415.0</v>
      </c>
      <c r="M324" s="57" t="s">
        <v>915</v>
      </c>
      <c r="N324" s="57" t="s">
        <v>507</v>
      </c>
      <c r="O324" s="109"/>
      <c r="P324" s="109"/>
      <c r="Q324" s="109"/>
      <c r="R324" s="109"/>
      <c r="S324" s="57"/>
      <c r="T324" s="109"/>
      <c r="U324" s="109"/>
    </row>
    <row r="325">
      <c r="A325" s="355">
        <f t="shared" si="6"/>
        <v>91</v>
      </c>
      <c r="B325" s="97">
        <v>46027.0</v>
      </c>
      <c r="C325" s="57" t="s">
        <v>57</v>
      </c>
      <c r="D325" s="109"/>
      <c r="E325" s="57" t="s">
        <v>228</v>
      </c>
      <c r="F325" s="57" t="s">
        <v>498</v>
      </c>
      <c r="G325" s="57" t="s">
        <v>917</v>
      </c>
      <c r="H325" s="57">
        <v>7.0394163225E10</v>
      </c>
      <c r="I325" s="109"/>
      <c r="J325" s="109"/>
      <c r="K325" s="57" t="s">
        <v>531</v>
      </c>
      <c r="L325" s="57">
        <v>723562.0</v>
      </c>
      <c r="M325" s="57" t="s">
        <v>918</v>
      </c>
      <c r="N325" s="57" t="s">
        <v>507</v>
      </c>
      <c r="O325" s="109"/>
      <c r="P325" s="109"/>
      <c r="Q325" s="109"/>
      <c r="R325" s="109"/>
      <c r="S325" s="57"/>
      <c r="T325" s="109"/>
      <c r="U325" s="109"/>
    </row>
    <row r="326">
      <c r="A326" s="355">
        <f t="shared" si="6"/>
        <v>92</v>
      </c>
      <c r="B326" s="97">
        <v>46044.0</v>
      </c>
      <c r="C326" s="57" t="s">
        <v>147</v>
      </c>
      <c r="D326" s="109"/>
      <c r="E326" s="57" t="s">
        <v>228</v>
      </c>
      <c r="F326" s="57" t="s">
        <v>498</v>
      </c>
      <c r="G326" s="57" t="s">
        <v>919</v>
      </c>
      <c r="H326" s="57" t="s">
        <v>920</v>
      </c>
      <c r="I326" s="109"/>
      <c r="J326" s="109"/>
      <c r="K326" s="57" t="s">
        <v>531</v>
      </c>
      <c r="L326" s="57">
        <v>904845.0</v>
      </c>
      <c r="M326" s="57" t="s">
        <v>915</v>
      </c>
      <c r="N326" s="57" t="s">
        <v>507</v>
      </c>
      <c r="O326" s="109"/>
      <c r="P326" s="109"/>
      <c r="Q326" s="109"/>
      <c r="R326" s="109"/>
      <c r="S326" s="57"/>
      <c r="T326" s="109"/>
      <c r="U326" s="109"/>
    </row>
    <row r="327">
      <c r="A327" s="355">
        <f t="shared" si="6"/>
        <v>93</v>
      </c>
      <c r="B327" s="406">
        <v>46021.0</v>
      </c>
      <c r="C327" s="57" t="s">
        <v>187</v>
      </c>
      <c r="D327" s="57" t="s">
        <v>503</v>
      </c>
      <c r="E327" s="57" t="s">
        <v>228</v>
      </c>
      <c r="F327" s="57" t="s">
        <v>498</v>
      </c>
      <c r="G327" s="57" t="s">
        <v>921</v>
      </c>
      <c r="H327" s="57" t="s">
        <v>922</v>
      </c>
      <c r="I327" s="109"/>
      <c r="J327" s="109"/>
      <c r="K327" s="57" t="s">
        <v>499</v>
      </c>
      <c r="L327" s="57">
        <v>138233.0</v>
      </c>
      <c r="M327" s="109"/>
      <c r="N327" s="57" t="s">
        <v>507</v>
      </c>
      <c r="O327" s="109"/>
      <c r="P327" s="109"/>
      <c r="Q327" s="109"/>
      <c r="R327" s="109"/>
      <c r="S327" s="57"/>
      <c r="T327" s="109"/>
      <c r="U327" s="109"/>
    </row>
    <row r="328">
      <c r="A328" s="355">
        <f t="shared" si="6"/>
        <v>94</v>
      </c>
      <c r="B328" s="406">
        <v>46021.0</v>
      </c>
      <c r="C328" s="57" t="s">
        <v>187</v>
      </c>
      <c r="D328" s="57" t="s">
        <v>497</v>
      </c>
      <c r="E328" s="57" t="s">
        <v>512</v>
      </c>
      <c r="F328" s="57" t="s">
        <v>498</v>
      </c>
      <c r="G328" s="57">
        <v>7.0726862024E10</v>
      </c>
      <c r="H328" s="57">
        <v>7.0265844424E10</v>
      </c>
      <c r="I328" s="109"/>
      <c r="J328" s="109"/>
      <c r="K328" s="57" t="s">
        <v>518</v>
      </c>
      <c r="L328" s="57">
        <v>138233.0</v>
      </c>
      <c r="M328" s="109"/>
      <c r="N328" s="57" t="s">
        <v>507</v>
      </c>
      <c r="O328" s="109"/>
      <c r="P328" s="109"/>
      <c r="Q328" s="109"/>
      <c r="R328" s="57" t="s">
        <v>500</v>
      </c>
      <c r="S328" s="57"/>
      <c r="T328" s="109"/>
      <c r="U328" s="57" t="s">
        <v>500</v>
      </c>
    </row>
    <row r="329">
      <c r="A329" s="355">
        <f t="shared" si="6"/>
        <v>95</v>
      </c>
      <c r="B329" s="406">
        <v>46021.0</v>
      </c>
      <c r="C329" s="57" t="s">
        <v>147</v>
      </c>
      <c r="D329" s="57" t="s">
        <v>503</v>
      </c>
      <c r="E329" s="57" t="s">
        <v>228</v>
      </c>
      <c r="F329" s="57" t="s">
        <v>498</v>
      </c>
      <c r="G329" s="57" t="s">
        <v>923</v>
      </c>
      <c r="H329" s="57">
        <v>7.0433234025E10</v>
      </c>
      <c r="I329" s="109"/>
      <c r="J329" s="109"/>
      <c r="K329" s="57" t="s">
        <v>499</v>
      </c>
      <c r="L329" s="57">
        <v>899415.0</v>
      </c>
      <c r="M329" s="57" t="s">
        <v>915</v>
      </c>
      <c r="N329" s="57" t="s">
        <v>507</v>
      </c>
      <c r="O329" s="57" t="s">
        <v>497</v>
      </c>
      <c r="P329" s="57" t="s">
        <v>498</v>
      </c>
      <c r="Q329" s="57">
        <v>7.0525262725E10</v>
      </c>
      <c r="R329" s="57" t="s">
        <v>519</v>
      </c>
      <c r="S329" s="57" t="s">
        <v>497</v>
      </c>
      <c r="T329" s="57">
        <v>7.0608672825E10</v>
      </c>
      <c r="U329" s="57" t="s">
        <v>519</v>
      </c>
    </row>
    <row r="330">
      <c r="A330" s="355">
        <f t="shared" si="6"/>
        <v>96</v>
      </c>
      <c r="B330" s="406">
        <v>46021.0</v>
      </c>
      <c r="C330" s="57" t="s">
        <v>147</v>
      </c>
      <c r="D330" s="57" t="s">
        <v>516</v>
      </c>
      <c r="E330" s="57" t="s">
        <v>512</v>
      </c>
      <c r="F330" s="57" t="s">
        <v>498</v>
      </c>
      <c r="G330" s="57" t="s">
        <v>916</v>
      </c>
      <c r="H330" s="57" t="s">
        <v>924</v>
      </c>
      <c r="I330" s="109"/>
      <c r="J330" s="109"/>
      <c r="K330" s="57" t="s">
        <v>518</v>
      </c>
      <c r="L330" s="57">
        <v>899415.0</v>
      </c>
      <c r="M330" s="57" t="s">
        <v>915</v>
      </c>
      <c r="N330" s="57" t="s">
        <v>507</v>
      </c>
      <c r="O330" s="109"/>
      <c r="P330" s="109"/>
      <c r="Q330" s="109"/>
      <c r="R330" s="57" t="s">
        <v>500</v>
      </c>
      <c r="S330" s="57"/>
      <c r="T330" s="109"/>
      <c r="U330" s="57" t="s">
        <v>500</v>
      </c>
    </row>
    <row r="331">
      <c r="A331" s="355">
        <f t="shared" si="6"/>
        <v>97</v>
      </c>
      <c r="B331" s="97">
        <v>46026.0</v>
      </c>
      <c r="C331" s="57" t="s">
        <v>120</v>
      </c>
      <c r="D331" s="57" t="s">
        <v>503</v>
      </c>
      <c r="E331" s="57" t="s">
        <v>228</v>
      </c>
      <c r="F331" s="57" t="s">
        <v>498</v>
      </c>
      <c r="G331" s="57" t="s">
        <v>925</v>
      </c>
      <c r="H331" s="57" t="s">
        <v>926</v>
      </c>
      <c r="I331" s="109"/>
      <c r="J331" s="109"/>
      <c r="K331" s="57" t="s">
        <v>499</v>
      </c>
      <c r="L331" s="109"/>
      <c r="M331" s="109"/>
      <c r="N331" s="57" t="s">
        <v>507</v>
      </c>
      <c r="O331" s="109"/>
      <c r="P331" s="109"/>
      <c r="Q331" s="109"/>
      <c r="R331" s="109"/>
      <c r="S331" s="57"/>
      <c r="T331" s="109"/>
      <c r="U331" s="109"/>
      <c r="V331" s="2" t="s">
        <v>260</v>
      </c>
    </row>
    <row r="332">
      <c r="A332" s="355">
        <f t="shared" si="6"/>
        <v>98</v>
      </c>
      <c r="B332" s="97">
        <v>46026.0</v>
      </c>
      <c r="C332" s="57" t="s">
        <v>57</v>
      </c>
      <c r="D332" s="57" t="s">
        <v>503</v>
      </c>
      <c r="E332" s="57" t="s">
        <v>228</v>
      </c>
      <c r="F332" s="57" t="s">
        <v>498</v>
      </c>
      <c r="G332" s="57" t="s">
        <v>917</v>
      </c>
      <c r="H332" s="57">
        <v>7.0394163225E10</v>
      </c>
      <c r="I332" s="109"/>
      <c r="J332" s="109"/>
      <c r="K332" s="57" t="s">
        <v>499</v>
      </c>
      <c r="L332" s="109"/>
      <c r="M332" s="109"/>
      <c r="N332" s="57" t="s">
        <v>507</v>
      </c>
      <c r="O332" s="109"/>
      <c r="P332" s="109"/>
      <c r="Q332" s="109"/>
      <c r="R332" s="109"/>
      <c r="S332" s="57"/>
      <c r="T332" s="109"/>
      <c r="U332" s="109"/>
      <c r="V332" s="2" t="s">
        <v>260</v>
      </c>
    </row>
    <row r="333">
      <c r="A333" s="355">
        <f t="shared" si="6"/>
        <v>99</v>
      </c>
      <c r="B333" s="97">
        <v>46032.0</v>
      </c>
      <c r="C333" s="57" t="s">
        <v>93</v>
      </c>
      <c r="D333" s="57" t="s">
        <v>503</v>
      </c>
      <c r="E333" s="57" t="s">
        <v>228</v>
      </c>
      <c r="F333" s="57" t="s">
        <v>498</v>
      </c>
      <c r="G333" s="57" t="s">
        <v>927</v>
      </c>
      <c r="H333" s="57" t="s">
        <v>928</v>
      </c>
      <c r="I333" s="109"/>
      <c r="J333" s="109"/>
      <c r="K333" s="57" t="s">
        <v>506</v>
      </c>
      <c r="L333" s="109"/>
      <c r="M333" s="57" t="s">
        <v>929</v>
      </c>
      <c r="N333" s="57" t="s">
        <v>507</v>
      </c>
      <c r="O333" s="57" t="s">
        <v>503</v>
      </c>
      <c r="P333" s="57" t="s">
        <v>498</v>
      </c>
      <c r="Q333" s="57">
        <v>7.0539861825E10</v>
      </c>
      <c r="R333" s="57" t="s">
        <v>519</v>
      </c>
      <c r="S333" s="57" t="s">
        <v>503</v>
      </c>
      <c r="T333" s="57">
        <v>7.0514231825E10</v>
      </c>
      <c r="U333" s="57" t="s">
        <v>519</v>
      </c>
    </row>
    <row r="334">
      <c r="A334" s="355">
        <f t="shared" si="6"/>
        <v>100</v>
      </c>
      <c r="B334" s="97">
        <v>46032.0</v>
      </c>
      <c r="C334" s="57" t="s">
        <v>143</v>
      </c>
      <c r="D334" s="57" t="s">
        <v>503</v>
      </c>
      <c r="E334" s="57" t="s">
        <v>228</v>
      </c>
      <c r="F334" s="57" t="s">
        <v>498</v>
      </c>
      <c r="G334" s="57" t="s">
        <v>930</v>
      </c>
      <c r="H334" s="57" t="s">
        <v>931</v>
      </c>
      <c r="I334" s="109"/>
      <c r="J334" s="109"/>
      <c r="K334" s="57" t="s">
        <v>499</v>
      </c>
      <c r="L334" s="57">
        <v>830283.0</v>
      </c>
      <c r="M334" s="57" t="s">
        <v>932</v>
      </c>
      <c r="N334" s="57" t="s">
        <v>507</v>
      </c>
      <c r="O334" s="57" t="s">
        <v>503</v>
      </c>
      <c r="P334" s="57" t="s">
        <v>498</v>
      </c>
      <c r="Q334" s="109"/>
      <c r="R334" s="57" t="s">
        <v>519</v>
      </c>
      <c r="S334" s="57" t="s">
        <v>503</v>
      </c>
      <c r="T334" s="109"/>
      <c r="U334" s="57" t="s">
        <v>519</v>
      </c>
    </row>
    <row r="335">
      <c r="A335" s="355">
        <f t="shared" si="6"/>
        <v>101</v>
      </c>
      <c r="B335" s="97">
        <v>46044.0</v>
      </c>
      <c r="C335" s="57" t="s">
        <v>147</v>
      </c>
      <c r="D335" s="57" t="s">
        <v>503</v>
      </c>
      <c r="E335" s="57" t="s">
        <v>228</v>
      </c>
      <c r="F335" s="57" t="s">
        <v>498</v>
      </c>
      <c r="G335" s="57" t="s">
        <v>919</v>
      </c>
      <c r="H335" s="57" t="s">
        <v>920</v>
      </c>
      <c r="I335" s="109"/>
      <c r="J335" s="109"/>
      <c r="K335" s="57" t="s">
        <v>499</v>
      </c>
      <c r="L335" s="57">
        <v>904845.0</v>
      </c>
      <c r="M335" s="57" t="s">
        <v>915</v>
      </c>
      <c r="N335" s="57" t="s">
        <v>507</v>
      </c>
      <c r="O335" s="109"/>
      <c r="P335" s="109"/>
      <c r="Q335" s="109"/>
      <c r="R335" s="109"/>
      <c r="S335" s="57"/>
      <c r="T335" s="109"/>
      <c r="U335" s="109"/>
      <c r="V335" s="2" t="s">
        <v>260</v>
      </c>
    </row>
    <row r="336">
      <c r="A336" s="355">
        <f t="shared" si="6"/>
        <v>102</v>
      </c>
      <c r="B336" s="97">
        <v>46044.0</v>
      </c>
      <c r="C336" s="57" t="s">
        <v>143</v>
      </c>
      <c r="D336" s="57" t="s">
        <v>503</v>
      </c>
      <c r="E336" s="57" t="s">
        <v>228</v>
      </c>
      <c r="F336" s="57" t="s">
        <v>498</v>
      </c>
      <c r="G336" s="57" t="s">
        <v>933</v>
      </c>
      <c r="H336" s="57" t="s">
        <v>934</v>
      </c>
      <c r="I336" s="109"/>
      <c r="J336" s="109"/>
      <c r="K336" s="57" t="s">
        <v>499</v>
      </c>
      <c r="L336" s="57">
        <v>832851.0</v>
      </c>
      <c r="M336" s="57" t="s">
        <v>590</v>
      </c>
      <c r="N336" s="57" t="s">
        <v>507</v>
      </c>
      <c r="O336" s="109"/>
      <c r="P336" s="109"/>
      <c r="Q336" s="109"/>
      <c r="R336" s="109"/>
      <c r="S336" s="57"/>
      <c r="T336" s="109"/>
      <c r="U336" s="109"/>
      <c r="V336" s="2" t="s">
        <v>260</v>
      </c>
    </row>
    <row r="337">
      <c r="A337" s="355">
        <f t="shared" si="6"/>
        <v>103</v>
      </c>
      <c r="B337" s="97">
        <v>46044.0</v>
      </c>
      <c r="C337" s="57" t="s">
        <v>208</v>
      </c>
      <c r="D337" s="57" t="s">
        <v>503</v>
      </c>
      <c r="E337" s="57" t="s">
        <v>228</v>
      </c>
      <c r="F337" s="57" t="s">
        <v>498</v>
      </c>
      <c r="G337" s="57">
        <v>7.0515250126E10</v>
      </c>
      <c r="H337" s="57" t="s">
        <v>935</v>
      </c>
      <c r="I337" s="109"/>
      <c r="J337" s="109"/>
      <c r="K337" s="57" t="s">
        <v>506</v>
      </c>
      <c r="L337" s="109"/>
      <c r="M337" s="57" t="s">
        <v>888</v>
      </c>
      <c r="N337" s="57" t="s">
        <v>507</v>
      </c>
      <c r="O337" s="109"/>
      <c r="P337" s="109"/>
      <c r="Q337" s="109"/>
      <c r="R337" s="109"/>
      <c r="S337" s="57"/>
      <c r="T337" s="109"/>
      <c r="U337" s="109"/>
    </row>
    <row r="338">
      <c r="A338" s="355">
        <f>A320+1</f>
        <v>123</v>
      </c>
      <c r="B338" s="97">
        <v>46045.0</v>
      </c>
      <c r="C338" s="57" t="s">
        <v>104</v>
      </c>
      <c r="D338" s="57" t="s">
        <v>503</v>
      </c>
      <c r="E338" s="57" t="s">
        <v>228</v>
      </c>
      <c r="F338" s="57" t="s">
        <v>498</v>
      </c>
      <c r="G338" s="100"/>
      <c r="H338" s="100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57"/>
      <c r="T338" s="109"/>
      <c r="U338" s="109"/>
    </row>
    <row r="339">
      <c r="A339" s="355">
        <f>A337+1</f>
        <v>104</v>
      </c>
      <c r="B339" s="405">
        <v>46047.0</v>
      </c>
      <c r="C339" s="57" t="s">
        <v>104</v>
      </c>
      <c r="D339" s="57" t="s">
        <v>503</v>
      </c>
      <c r="E339" s="57" t="s">
        <v>228</v>
      </c>
      <c r="F339" s="57" t="s">
        <v>498</v>
      </c>
      <c r="G339" s="57" t="s">
        <v>936</v>
      </c>
      <c r="H339" s="57" t="s">
        <v>937</v>
      </c>
      <c r="I339" s="109"/>
      <c r="J339" s="109"/>
      <c r="K339" s="57" t="s">
        <v>499</v>
      </c>
      <c r="L339" s="109"/>
      <c r="M339" s="57" t="s">
        <v>413</v>
      </c>
      <c r="N339" s="57" t="s">
        <v>507</v>
      </c>
      <c r="O339" s="109"/>
      <c r="P339" s="109"/>
      <c r="Q339" s="109"/>
      <c r="R339" s="109"/>
      <c r="S339" s="57"/>
      <c r="T339" s="109"/>
      <c r="U339" s="109"/>
      <c r="V339" s="2" t="s">
        <v>260</v>
      </c>
    </row>
    <row r="340">
      <c r="A340" s="355">
        <f t="shared" ref="A340:A348" si="7">A339+1</f>
        <v>105</v>
      </c>
      <c r="B340" s="405">
        <v>46048.0</v>
      </c>
      <c r="C340" s="57" t="s">
        <v>160</v>
      </c>
      <c r="D340" s="57" t="s">
        <v>503</v>
      </c>
      <c r="E340" s="57" t="s">
        <v>228</v>
      </c>
      <c r="F340" s="57" t="s">
        <v>498</v>
      </c>
      <c r="G340" s="57" t="s">
        <v>938</v>
      </c>
      <c r="H340" s="57">
        <v>7.0522670226E10</v>
      </c>
      <c r="I340" s="109"/>
      <c r="J340" s="109"/>
      <c r="K340" s="57" t="s">
        <v>499</v>
      </c>
      <c r="L340" s="57">
        <v>878686.0</v>
      </c>
      <c r="M340" s="57" t="s">
        <v>939</v>
      </c>
      <c r="N340" s="57" t="s">
        <v>507</v>
      </c>
      <c r="O340" s="109"/>
      <c r="P340" s="109"/>
      <c r="Q340" s="109"/>
      <c r="R340" s="109"/>
      <c r="S340" s="57"/>
      <c r="T340" s="109"/>
      <c r="U340" s="109"/>
      <c r="V340" s="2" t="s">
        <v>260</v>
      </c>
    </row>
    <row r="341">
      <c r="A341" s="355">
        <f t="shared" si="7"/>
        <v>106</v>
      </c>
      <c r="B341" s="405">
        <v>46056.0</v>
      </c>
      <c r="C341" s="57" t="s">
        <v>121</v>
      </c>
      <c r="D341" s="57" t="s">
        <v>503</v>
      </c>
      <c r="E341" s="57" t="s">
        <v>228</v>
      </c>
      <c r="F341" s="57" t="s">
        <v>498</v>
      </c>
      <c r="G341" s="57" t="s">
        <v>940</v>
      </c>
      <c r="H341" s="57" t="s">
        <v>941</v>
      </c>
      <c r="I341" s="109"/>
      <c r="J341" s="109"/>
      <c r="K341" s="57" t="s">
        <v>499</v>
      </c>
      <c r="L341" s="57">
        <v>101799.0</v>
      </c>
      <c r="M341" s="57" t="s">
        <v>413</v>
      </c>
      <c r="N341" s="57" t="s">
        <v>507</v>
      </c>
      <c r="O341" s="109"/>
      <c r="P341" s="109"/>
      <c r="Q341" s="109"/>
      <c r="R341" s="109"/>
      <c r="S341" s="57"/>
      <c r="T341" s="109"/>
      <c r="U341" s="109"/>
    </row>
    <row r="342">
      <c r="A342" s="355">
        <f t="shared" si="7"/>
        <v>107</v>
      </c>
      <c r="B342" s="405">
        <v>46056.0</v>
      </c>
      <c r="C342" s="57" t="s">
        <v>121</v>
      </c>
      <c r="D342" s="57" t="s">
        <v>503</v>
      </c>
      <c r="E342" s="57" t="s">
        <v>228</v>
      </c>
      <c r="F342" s="57" t="s">
        <v>498</v>
      </c>
      <c r="G342" s="57">
        <v>7.0427480226E10</v>
      </c>
      <c r="H342" s="57">
        <v>7.0123770126E10</v>
      </c>
      <c r="I342" s="109"/>
      <c r="J342" s="109"/>
      <c r="K342" s="57" t="s">
        <v>499</v>
      </c>
      <c r="L342" s="57">
        <v>101799.0</v>
      </c>
      <c r="M342" s="57" t="s">
        <v>413</v>
      </c>
      <c r="N342" s="57" t="s">
        <v>507</v>
      </c>
      <c r="O342" s="109"/>
      <c r="P342" s="109"/>
      <c r="Q342" s="109"/>
      <c r="R342" s="109"/>
      <c r="S342" s="57"/>
      <c r="T342" s="109"/>
      <c r="U342" s="109"/>
    </row>
    <row r="343">
      <c r="A343" s="355">
        <f t="shared" si="7"/>
        <v>108</v>
      </c>
      <c r="B343" s="408">
        <v>46328.0</v>
      </c>
      <c r="C343" s="57" t="s">
        <v>160</v>
      </c>
      <c r="D343" s="57" t="s">
        <v>538</v>
      </c>
      <c r="E343" s="57" t="s">
        <v>228</v>
      </c>
      <c r="F343" s="57" t="s">
        <v>498</v>
      </c>
      <c r="G343" s="57">
        <v>7.0204710626E10</v>
      </c>
      <c r="H343" s="57">
        <v>7.0080770626E10</v>
      </c>
      <c r="I343" s="109"/>
      <c r="J343" s="109"/>
      <c r="K343" s="57" t="s">
        <v>499</v>
      </c>
      <c r="L343" s="109"/>
      <c r="M343" s="109"/>
      <c r="N343" s="57" t="s">
        <v>507</v>
      </c>
      <c r="O343" s="109"/>
      <c r="P343" s="109"/>
      <c r="Q343" s="109"/>
      <c r="R343" s="109"/>
      <c r="S343" s="57"/>
      <c r="T343" s="109"/>
      <c r="U343" s="109"/>
    </row>
    <row r="344">
      <c r="A344" s="355">
        <f t="shared" si="7"/>
        <v>109</v>
      </c>
      <c r="B344" s="405">
        <v>46075.0</v>
      </c>
      <c r="C344" s="57" t="s">
        <v>159</v>
      </c>
      <c r="D344" s="57" t="s">
        <v>538</v>
      </c>
      <c r="E344" s="57" t="s">
        <v>228</v>
      </c>
      <c r="F344" s="57" t="s">
        <v>498</v>
      </c>
      <c r="G344" s="57">
        <v>7.0017910726E10</v>
      </c>
      <c r="H344" s="57">
        <v>7.0209690626E10</v>
      </c>
      <c r="I344" s="109"/>
      <c r="J344" s="109"/>
      <c r="K344" s="57" t="s">
        <v>499</v>
      </c>
      <c r="L344" s="109"/>
      <c r="M344" s="109"/>
      <c r="N344" s="57" t="s">
        <v>507</v>
      </c>
      <c r="O344" s="109"/>
      <c r="P344" s="109"/>
      <c r="Q344" s="109"/>
      <c r="R344" s="109"/>
      <c r="S344" s="57"/>
      <c r="T344" s="109"/>
      <c r="U344" s="109"/>
      <c r="V344" s="2" t="s">
        <v>260</v>
      </c>
    </row>
    <row r="345">
      <c r="A345" s="355">
        <f t="shared" si="7"/>
        <v>110</v>
      </c>
      <c r="B345" s="405">
        <v>46076.0</v>
      </c>
      <c r="C345" s="57" t="s">
        <v>57</v>
      </c>
      <c r="D345" s="57" t="s">
        <v>538</v>
      </c>
      <c r="E345" s="57" t="s">
        <v>228</v>
      </c>
      <c r="F345" s="57" t="s">
        <v>498</v>
      </c>
      <c r="G345" s="57">
        <v>7.0480850526E10</v>
      </c>
      <c r="H345" s="57">
        <v>7.0014470726E10</v>
      </c>
      <c r="I345" s="109"/>
      <c r="J345" s="109"/>
      <c r="K345" s="57" t="s">
        <v>499</v>
      </c>
      <c r="L345" s="109"/>
      <c r="M345" s="57" t="s">
        <v>595</v>
      </c>
      <c r="N345" s="57" t="s">
        <v>507</v>
      </c>
      <c r="O345" s="109"/>
      <c r="P345" s="109"/>
      <c r="Q345" s="109"/>
      <c r="R345" s="109"/>
      <c r="S345" s="57"/>
      <c r="T345" s="109"/>
      <c r="U345" s="109"/>
    </row>
    <row r="346">
      <c r="A346" s="355">
        <f t="shared" si="7"/>
        <v>111</v>
      </c>
      <c r="B346" s="97">
        <v>46079.0</v>
      </c>
      <c r="C346" s="57" t="s">
        <v>187</v>
      </c>
      <c r="D346" s="57" t="s">
        <v>503</v>
      </c>
      <c r="E346" s="57" t="s">
        <v>228</v>
      </c>
      <c r="F346" s="57" t="s">
        <v>498</v>
      </c>
      <c r="G346" s="57">
        <v>7.0116620126E10</v>
      </c>
      <c r="H346" s="57" t="s">
        <v>942</v>
      </c>
      <c r="I346" s="109"/>
      <c r="J346" s="109"/>
      <c r="K346" s="57" t="s">
        <v>506</v>
      </c>
      <c r="L346" s="109"/>
      <c r="M346" s="57" t="s">
        <v>843</v>
      </c>
      <c r="N346" s="57" t="s">
        <v>507</v>
      </c>
      <c r="O346" s="109"/>
      <c r="P346" s="109"/>
      <c r="Q346" s="109"/>
      <c r="R346" s="109"/>
      <c r="S346" s="57"/>
      <c r="T346" s="109"/>
      <c r="U346" s="109"/>
    </row>
    <row r="347">
      <c r="A347" s="355">
        <f t="shared" si="7"/>
        <v>112</v>
      </c>
      <c r="B347" s="405">
        <v>46084.0</v>
      </c>
      <c r="C347" s="57" t="s">
        <v>121</v>
      </c>
      <c r="D347" s="57" t="s">
        <v>542</v>
      </c>
      <c r="E347" s="57" t="s">
        <v>228</v>
      </c>
      <c r="F347" s="57" t="s">
        <v>498</v>
      </c>
      <c r="G347" s="57" t="s">
        <v>943</v>
      </c>
      <c r="H347" s="57" t="s">
        <v>944</v>
      </c>
      <c r="I347" s="109"/>
      <c r="J347" s="109"/>
      <c r="K347" s="57" t="s">
        <v>499</v>
      </c>
      <c r="L347" s="109"/>
      <c r="M347" s="109"/>
      <c r="N347" s="57" t="s">
        <v>507</v>
      </c>
      <c r="O347" s="109"/>
      <c r="P347" s="109"/>
      <c r="Q347" s="109"/>
      <c r="R347" s="109"/>
      <c r="S347" s="57"/>
      <c r="T347" s="109"/>
      <c r="U347" s="109"/>
      <c r="V347" s="2" t="s">
        <v>260</v>
      </c>
    </row>
    <row r="348">
      <c r="A348" s="355">
        <f t="shared" si="7"/>
        <v>113</v>
      </c>
      <c r="B348" s="405">
        <v>46084.0</v>
      </c>
      <c r="C348" s="57" t="s">
        <v>121</v>
      </c>
      <c r="D348" s="57" t="s">
        <v>544</v>
      </c>
      <c r="E348" s="57" t="s">
        <v>228</v>
      </c>
      <c r="F348" s="57" t="s">
        <v>498</v>
      </c>
      <c r="G348" s="57" t="s">
        <v>945</v>
      </c>
      <c r="H348" s="57" t="s">
        <v>946</v>
      </c>
      <c r="I348" s="109"/>
      <c r="J348" s="109"/>
      <c r="K348" s="57" t="s">
        <v>499</v>
      </c>
      <c r="L348" s="109"/>
      <c r="M348" s="109"/>
      <c r="N348" s="57" t="s">
        <v>507</v>
      </c>
      <c r="O348" s="109"/>
      <c r="P348" s="109"/>
      <c r="Q348" s="109"/>
      <c r="R348" s="109"/>
      <c r="S348" s="57"/>
      <c r="T348" s="109"/>
      <c r="U348" s="109"/>
      <c r="V348" s="2" t="s">
        <v>260</v>
      </c>
    </row>
    <row r="349">
      <c r="A349" s="355">
        <f>A315+1</f>
        <v>121</v>
      </c>
      <c r="B349" s="406">
        <v>46090.0</v>
      </c>
      <c r="C349" s="57" t="s">
        <v>104</v>
      </c>
      <c r="D349" s="57" t="s">
        <v>503</v>
      </c>
      <c r="E349" s="57" t="s">
        <v>228</v>
      </c>
      <c r="F349" s="57" t="s">
        <v>498</v>
      </c>
      <c r="G349" s="57">
        <v>7.0014024924E10</v>
      </c>
      <c r="H349" s="100"/>
      <c r="I349" s="109"/>
      <c r="J349" s="109"/>
      <c r="K349" s="57" t="s">
        <v>531</v>
      </c>
      <c r="L349" s="57">
        <v>535058.0</v>
      </c>
      <c r="M349" s="57" t="s">
        <v>898</v>
      </c>
      <c r="N349" s="57" t="s">
        <v>507</v>
      </c>
      <c r="O349" s="109"/>
      <c r="P349" s="109"/>
      <c r="Q349" s="109"/>
      <c r="R349" s="109"/>
      <c r="S349" s="57"/>
      <c r="T349" s="109"/>
      <c r="U349" s="109"/>
    </row>
    <row r="350">
      <c r="A350" s="355">
        <f>A348+1</f>
        <v>114</v>
      </c>
      <c r="B350" s="409">
        <v>46092.0</v>
      </c>
      <c r="C350" s="57" t="s">
        <v>168</v>
      </c>
      <c r="D350" s="57" t="s">
        <v>538</v>
      </c>
      <c r="E350" s="57" t="s">
        <v>228</v>
      </c>
      <c r="F350" s="57" t="s">
        <v>498</v>
      </c>
      <c r="G350" s="57">
        <v>7.0424160926E10</v>
      </c>
      <c r="H350" s="57">
        <v>7.0429160926E10</v>
      </c>
      <c r="I350" s="109"/>
      <c r="J350" s="109"/>
      <c r="K350" s="57" t="s">
        <v>499</v>
      </c>
      <c r="L350" s="109"/>
      <c r="M350" s="57" t="s">
        <v>947</v>
      </c>
      <c r="N350" s="57" t="s">
        <v>507</v>
      </c>
      <c r="O350" s="109"/>
      <c r="P350" s="109"/>
      <c r="Q350" s="57" t="s">
        <v>948</v>
      </c>
      <c r="R350" s="109"/>
      <c r="S350" s="57"/>
      <c r="T350" s="109"/>
      <c r="U350" s="109"/>
    </row>
    <row r="351">
      <c r="A351" s="355">
        <f t="shared" ref="A351:A354" si="8">A350+1</f>
        <v>115</v>
      </c>
      <c r="B351" s="409">
        <v>46092.0</v>
      </c>
      <c r="C351" s="57" t="s">
        <v>155</v>
      </c>
      <c r="D351" s="57" t="s">
        <v>503</v>
      </c>
      <c r="E351" s="57" t="s">
        <v>228</v>
      </c>
      <c r="F351" s="57" t="s">
        <v>498</v>
      </c>
      <c r="G351" s="57" t="s">
        <v>949</v>
      </c>
      <c r="H351" s="57" t="s">
        <v>950</v>
      </c>
      <c r="I351" s="109"/>
      <c r="J351" s="109"/>
      <c r="K351" s="57" t="s">
        <v>499</v>
      </c>
      <c r="L351" s="109"/>
      <c r="M351" s="109"/>
      <c r="N351" s="57" t="s">
        <v>507</v>
      </c>
      <c r="O351" s="109"/>
      <c r="P351" s="109"/>
      <c r="Q351" s="109"/>
      <c r="R351" s="109"/>
      <c r="S351" s="57"/>
      <c r="T351" s="109"/>
      <c r="U351" s="109"/>
      <c r="V351" s="2" t="s">
        <v>260</v>
      </c>
    </row>
    <row r="352">
      <c r="A352" s="355">
        <f t="shared" si="8"/>
        <v>116</v>
      </c>
      <c r="B352" s="97">
        <v>46098.0</v>
      </c>
      <c r="C352" s="57" t="s">
        <v>93</v>
      </c>
      <c r="D352" s="57" t="s">
        <v>503</v>
      </c>
      <c r="E352" s="57" t="s">
        <v>228</v>
      </c>
      <c r="F352" s="57" t="s">
        <v>498</v>
      </c>
      <c r="G352" s="57" t="s">
        <v>951</v>
      </c>
      <c r="H352" s="57" t="s">
        <v>952</v>
      </c>
      <c r="I352" s="109"/>
      <c r="J352" s="109"/>
      <c r="K352" s="57" t="s">
        <v>499</v>
      </c>
      <c r="L352" s="109"/>
      <c r="M352" s="109"/>
      <c r="N352" s="57" t="s">
        <v>507</v>
      </c>
      <c r="O352" s="109"/>
      <c r="P352" s="109"/>
      <c r="Q352" s="109"/>
      <c r="R352" s="109"/>
      <c r="S352" s="57"/>
      <c r="T352" s="109"/>
      <c r="U352" s="109"/>
    </row>
    <row r="353">
      <c r="A353" s="355">
        <f t="shared" si="8"/>
        <v>117</v>
      </c>
      <c r="B353" s="405">
        <v>46098.0</v>
      </c>
      <c r="C353" s="57" t="s">
        <v>187</v>
      </c>
      <c r="D353" s="57" t="s">
        <v>503</v>
      </c>
      <c r="E353" s="57" t="s">
        <v>228</v>
      </c>
      <c r="F353" s="57" t="s">
        <v>498</v>
      </c>
      <c r="G353" s="57" t="s">
        <v>953</v>
      </c>
      <c r="H353" s="57" t="s">
        <v>954</v>
      </c>
      <c r="I353" s="109"/>
      <c r="J353" s="109"/>
      <c r="K353" s="57" t="s">
        <v>506</v>
      </c>
      <c r="L353" s="109"/>
      <c r="M353" s="57" t="s">
        <v>843</v>
      </c>
      <c r="N353" s="57" t="s">
        <v>507</v>
      </c>
      <c r="O353" s="109"/>
      <c r="P353" s="109"/>
      <c r="Q353" s="109"/>
      <c r="R353" s="109"/>
      <c r="S353" s="57"/>
      <c r="T353" s="109"/>
      <c r="U353" s="109"/>
    </row>
    <row r="354">
      <c r="A354" s="355">
        <f t="shared" si="8"/>
        <v>118</v>
      </c>
      <c r="B354" s="405">
        <v>46107.0</v>
      </c>
      <c r="C354" s="57" t="s">
        <v>181</v>
      </c>
      <c r="D354" s="57" t="s">
        <v>503</v>
      </c>
      <c r="E354" s="57" t="s">
        <v>228</v>
      </c>
      <c r="F354" s="57" t="s">
        <v>498</v>
      </c>
      <c r="G354" s="57">
        <v>7.0739973324E10</v>
      </c>
      <c r="H354" s="57">
        <v>7.0380290924E10</v>
      </c>
      <c r="I354" s="109"/>
      <c r="J354" s="109"/>
      <c r="K354" s="57" t="s">
        <v>531</v>
      </c>
      <c r="L354" s="57">
        <v>175147.0</v>
      </c>
      <c r="M354" s="57" t="s">
        <v>341</v>
      </c>
      <c r="N354" s="57" t="s">
        <v>507</v>
      </c>
      <c r="O354" s="109"/>
      <c r="P354" s="109"/>
      <c r="Q354" s="57">
        <v>7.0466924624E10</v>
      </c>
      <c r="R354" s="109"/>
      <c r="S354" s="57"/>
      <c r="T354" s="57">
        <v>7.0557540825E10</v>
      </c>
      <c r="U354" s="109"/>
    </row>
    <row r="355">
      <c r="A355" s="355">
        <f>A338+1</f>
        <v>124</v>
      </c>
      <c r="B355" s="97">
        <v>46076.0</v>
      </c>
      <c r="C355" s="57" t="s">
        <v>93</v>
      </c>
      <c r="D355" s="57" t="s">
        <v>503</v>
      </c>
      <c r="E355" s="57" t="s">
        <v>228</v>
      </c>
      <c r="F355" s="57" t="s">
        <v>498</v>
      </c>
      <c r="G355" s="57" t="s">
        <v>955</v>
      </c>
      <c r="H355" s="57" t="s">
        <v>956</v>
      </c>
      <c r="I355" s="109"/>
      <c r="J355" s="109"/>
      <c r="K355" s="57" t="s">
        <v>499</v>
      </c>
      <c r="L355" s="57">
        <v>851882.0</v>
      </c>
      <c r="M355" s="57" t="s">
        <v>906</v>
      </c>
      <c r="N355" s="57" t="s">
        <v>507</v>
      </c>
      <c r="O355" s="109"/>
      <c r="P355" s="109"/>
      <c r="Q355" s="109"/>
      <c r="R355" s="109"/>
      <c r="S355" s="57"/>
      <c r="T355" s="109"/>
      <c r="U355" s="109"/>
    </row>
    <row r="356">
      <c r="A356" s="355">
        <f>A355+1</f>
        <v>125</v>
      </c>
      <c r="B356" s="97">
        <v>46114.0</v>
      </c>
      <c r="C356" s="57" t="s">
        <v>187</v>
      </c>
      <c r="D356" s="57" t="s">
        <v>538</v>
      </c>
      <c r="E356" s="57" t="s">
        <v>228</v>
      </c>
      <c r="F356" s="57" t="s">
        <v>498</v>
      </c>
      <c r="G356" s="57">
        <v>7.0086531326E10</v>
      </c>
      <c r="H356" s="57">
        <v>7.0537151226E10</v>
      </c>
      <c r="I356" s="109"/>
      <c r="J356" s="109"/>
      <c r="K356" s="57" t="s">
        <v>499</v>
      </c>
      <c r="L356" s="109"/>
      <c r="M356" s="57" t="s">
        <v>600</v>
      </c>
      <c r="N356" s="57" t="s">
        <v>507</v>
      </c>
      <c r="O356" s="109"/>
      <c r="P356" s="109"/>
      <c r="Q356" s="109"/>
      <c r="R356" s="109"/>
      <c r="S356" s="57"/>
      <c r="T356" s="109"/>
      <c r="U356" s="109"/>
    </row>
    <row r="357">
      <c r="A357" s="100"/>
      <c r="B357" s="109"/>
      <c r="C357" s="109"/>
      <c r="D357" s="109"/>
      <c r="E357" s="109"/>
      <c r="F357" s="109"/>
      <c r="G357" s="100"/>
      <c r="H357" s="100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57"/>
      <c r="T357" s="109"/>
      <c r="U357" s="109"/>
    </row>
    <row r="358">
      <c r="A358" s="100"/>
      <c r="B358" s="109"/>
      <c r="C358" s="109"/>
      <c r="D358" s="109"/>
      <c r="E358" s="109"/>
      <c r="F358" s="109"/>
      <c r="G358" s="100"/>
      <c r="H358" s="100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57"/>
      <c r="T358" s="109"/>
      <c r="U358" s="109"/>
    </row>
    <row r="359">
      <c r="A359" s="100"/>
      <c r="B359" s="109"/>
      <c r="C359" s="109"/>
      <c r="D359" s="109"/>
      <c r="E359" s="109"/>
      <c r="F359" s="109"/>
      <c r="G359" s="100"/>
      <c r="H359" s="100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57"/>
      <c r="T359" s="109"/>
      <c r="U359" s="109"/>
    </row>
    <row r="360">
      <c r="A360" s="100"/>
      <c r="B360" s="109"/>
      <c r="C360" s="109"/>
      <c r="D360" s="109"/>
      <c r="E360" s="109"/>
      <c r="F360" s="109"/>
      <c r="G360" s="100"/>
      <c r="H360" s="100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57"/>
      <c r="T360" s="109"/>
      <c r="U360" s="109"/>
    </row>
    <row r="361">
      <c r="A361" s="100"/>
      <c r="B361" s="109"/>
      <c r="C361" s="109"/>
      <c r="D361" s="109"/>
      <c r="E361" s="109"/>
      <c r="F361" s="109"/>
      <c r="G361" s="100"/>
      <c r="H361" s="100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57"/>
      <c r="T361" s="109"/>
      <c r="U361" s="109"/>
    </row>
    <row r="362">
      <c r="A362" s="100"/>
      <c r="B362" s="109"/>
      <c r="C362" s="109"/>
      <c r="D362" s="109"/>
      <c r="E362" s="109"/>
      <c r="F362" s="109"/>
      <c r="G362" s="100"/>
      <c r="H362" s="100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57"/>
      <c r="T362" s="109"/>
      <c r="U362" s="109"/>
    </row>
    <row r="363">
      <c r="A363" s="100"/>
      <c r="B363" s="109"/>
      <c r="C363" s="109"/>
      <c r="D363" s="109"/>
      <c r="E363" s="109"/>
      <c r="F363" s="109"/>
      <c r="G363" s="100"/>
      <c r="H363" s="100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57"/>
      <c r="T363" s="109"/>
      <c r="U363" s="109"/>
    </row>
    <row r="364">
      <c r="A364" s="100"/>
      <c r="B364" s="109"/>
      <c r="C364" s="109"/>
      <c r="D364" s="109"/>
      <c r="E364" s="109"/>
      <c r="F364" s="109"/>
      <c r="G364" s="100"/>
      <c r="H364" s="100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57"/>
      <c r="T364" s="109"/>
      <c r="U364" s="109"/>
    </row>
    <row r="365">
      <c r="A365" s="100"/>
      <c r="B365" s="109"/>
      <c r="C365" s="109"/>
      <c r="D365" s="109"/>
      <c r="E365" s="109"/>
      <c r="F365" s="109"/>
      <c r="G365" s="100"/>
      <c r="H365" s="100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57"/>
      <c r="T365" s="109"/>
      <c r="U365" s="109"/>
    </row>
    <row r="366">
      <c r="A366" s="327"/>
      <c r="B366" s="328"/>
      <c r="G366" s="329"/>
      <c r="H366" s="329"/>
    </row>
    <row r="367">
      <c r="A367" s="327"/>
      <c r="B367" s="328"/>
      <c r="G367" s="329"/>
      <c r="H367" s="329"/>
    </row>
    <row r="368">
      <c r="A368" s="327"/>
      <c r="B368" s="328"/>
      <c r="G368" s="329"/>
      <c r="H368" s="329"/>
    </row>
    <row r="369">
      <c r="A369" s="327"/>
      <c r="B369" s="328"/>
      <c r="G369" s="329"/>
      <c r="H369" s="329"/>
    </row>
    <row r="370">
      <c r="A370" s="327"/>
      <c r="B370" s="328"/>
      <c r="G370" s="329"/>
      <c r="H370" s="329"/>
    </row>
    <row r="371">
      <c r="A371" s="327"/>
      <c r="B371" s="410"/>
      <c r="C371" s="411"/>
      <c r="D371" s="411"/>
      <c r="E371" s="411"/>
      <c r="F371" s="411"/>
      <c r="G371" s="412"/>
      <c r="H371" s="329"/>
    </row>
    <row r="372">
      <c r="A372" s="327"/>
      <c r="B372" s="410"/>
      <c r="C372" s="411"/>
      <c r="D372" s="411"/>
      <c r="E372" s="411"/>
      <c r="F372" s="411"/>
      <c r="G372" s="412"/>
      <c r="H372" s="329"/>
    </row>
    <row r="373">
      <c r="A373" s="327"/>
      <c r="B373" s="410"/>
      <c r="C373" s="411"/>
      <c r="D373" s="411"/>
      <c r="E373" s="411"/>
      <c r="F373" s="411"/>
      <c r="G373" s="412"/>
      <c r="H373" s="329"/>
    </row>
    <row r="374">
      <c r="A374" s="327"/>
      <c r="B374" s="410"/>
      <c r="C374" s="411"/>
      <c r="D374" s="411"/>
      <c r="E374" s="411"/>
      <c r="F374" s="411"/>
      <c r="G374" s="412"/>
      <c r="H374" s="329"/>
    </row>
    <row r="375">
      <c r="A375" s="327"/>
      <c r="B375" s="410"/>
      <c r="C375" s="411"/>
      <c r="D375" s="411"/>
      <c r="E375" s="411"/>
      <c r="F375" s="411"/>
      <c r="G375" s="412"/>
      <c r="H375" s="329"/>
    </row>
    <row r="376">
      <c r="A376" s="327"/>
      <c r="B376" s="328"/>
      <c r="G376" s="329"/>
      <c r="H376" s="329"/>
    </row>
    <row r="377">
      <c r="A377" s="327"/>
      <c r="B377" s="328"/>
      <c r="G377" s="329"/>
      <c r="H377" s="329"/>
    </row>
    <row r="378">
      <c r="A378" s="327"/>
      <c r="B378" s="328"/>
      <c r="G378" s="329"/>
      <c r="H378" s="329"/>
    </row>
    <row r="379">
      <c r="A379" s="327"/>
      <c r="B379" s="328"/>
      <c r="G379" s="329"/>
      <c r="H379" s="329"/>
    </row>
    <row r="380">
      <c r="A380" s="327"/>
      <c r="B380" s="328"/>
      <c r="G380" s="329"/>
      <c r="H380" s="329"/>
    </row>
    <row r="381">
      <c r="A381" s="327"/>
      <c r="B381" s="328"/>
      <c r="G381" s="329"/>
      <c r="H381" s="329"/>
    </row>
    <row r="382">
      <c r="A382" s="327"/>
      <c r="B382" s="328"/>
      <c r="G382" s="329"/>
      <c r="H382" s="329"/>
    </row>
    <row r="383">
      <c r="A383" s="327"/>
      <c r="B383" s="328"/>
      <c r="G383" s="329"/>
      <c r="H383" s="329"/>
    </row>
    <row r="384">
      <c r="A384" s="327"/>
      <c r="B384" s="328"/>
      <c r="G384" s="329"/>
      <c r="H384" s="329"/>
    </row>
    <row r="385">
      <c r="A385" s="327"/>
      <c r="B385" s="328"/>
      <c r="G385" s="329"/>
      <c r="H385" s="329"/>
    </row>
    <row r="386">
      <c r="A386" s="327"/>
      <c r="B386" s="328"/>
      <c r="G386" s="329"/>
      <c r="H386" s="329"/>
    </row>
    <row r="387">
      <c r="A387" s="327"/>
      <c r="B387" s="328"/>
      <c r="G387" s="329"/>
      <c r="H387" s="329"/>
    </row>
    <row r="388">
      <c r="A388" s="327"/>
      <c r="B388" s="328"/>
      <c r="G388" s="329"/>
      <c r="H388" s="329"/>
    </row>
    <row r="389">
      <c r="A389" s="327"/>
      <c r="B389" s="328"/>
      <c r="G389" s="329"/>
      <c r="H389" s="329"/>
    </row>
    <row r="390">
      <c r="A390" s="327"/>
      <c r="B390" s="328"/>
      <c r="G390" s="329"/>
      <c r="H390" s="329"/>
    </row>
    <row r="391">
      <c r="A391" s="327"/>
      <c r="B391" s="328"/>
      <c r="G391" s="329"/>
      <c r="H391" s="329"/>
    </row>
    <row r="392">
      <c r="A392" s="327"/>
      <c r="B392" s="328"/>
      <c r="G392" s="329"/>
      <c r="H392" s="329"/>
    </row>
    <row r="393">
      <c r="A393" s="327"/>
      <c r="B393" s="328"/>
      <c r="G393" s="329"/>
      <c r="H393" s="329"/>
    </row>
    <row r="394">
      <c r="A394" s="327"/>
      <c r="B394" s="328"/>
      <c r="G394" s="329"/>
      <c r="H394" s="329"/>
    </row>
    <row r="395">
      <c r="A395" s="327"/>
      <c r="B395" s="328"/>
      <c r="G395" s="329"/>
      <c r="H395" s="329"/>
    </row>
    <row r="396">
      <c r="A396" s="327"/>
      <c r="B396" s="328"/>
      <c r="G396" s="329"/>
      <c r="H396" s="329"/>
    </row>
    <row r="397">
      <c r="A397" s="327"/>
      <c r="B397" s="328"/>
      <c r="G397" s="329"/>
      <c r="H397" s="329"/>
    </row>
    <row r="398">
      <c r="A398" s="327"/>
      <c r="B398" s="328"/>
      <c r="G398" s="329"/>
      <c r="H398" s="329"/>
    </row>
    <row r="399">
      <c r="A399" s="327"/>
      <c r="B399" s="328"/>
      <c r="G399" s="329"/>
      <c r="H399" s="329"/>
    </row>
    <row r="400">
      <c r="A400" s="327"/>
      <c r="B400" s="328"/>
      <c r="G400" s="329"/>
      <c r="H400" s="329"/>
    </row>
    <row r="401">
      <c r="A401" s="327"/>
      <c r="B401" s="328"/>
      <c r="G401" s="329"/>
      <c r="H401" s="329"/>
    </row>
    <row r="402">
      <c r="A402" s="327"/>
      <c r="B402" s="328"/>
      <c r="G402" s="329"/>
      <c r="H402" s="329"/>
    </row>
    <row r="403">
      <c r="A403" s="327"/>
      <c r="B403" s="328"/>
      <c r="G403" s="329"/>
      <c r="H403" s="329"/>
    </row>
    <row r="404">
      <c r="A404" s="327"/>
      <c r="B404" s="328"/>
      <c r="G404" s="329"/>
      <c r="H404" s="329"/>
    </row>
    <row r="405">
      <c r="A405" s="327"/>
      <c r="B405" s="328"/>
      <c r="G405" s="329"/>
      <c r="H405" s="329"/>
    </row>
    <row r="406">
      <c r="A406" s="327"/>
      <c r="B406" s="328"/>
      <c r="G406" s="329"/>
      <c r="H406" s="329"/>
    </row>
    <row r="407">
      <c r="A407" s="327"/>
      <c r="B407" s="328"/>
      <c r="G407" s="329"/>
      <c r="H407" s="329"/>
    </row>
    <row r="408">
      <c r="A408" s="327"/>
      <c r="B408" s="328"/>
      <c r="G408" s="329"/>
      <c r="H408" s="329"/>
    </row>
    <row r="409">
      <c r="A409" s="327"/>
      <c r="B409" s="328"/>
      <c r="G409" s="329"/>
      <c r="H409" s="329"/>
    </row>
    <row r="410">
      <c r="A410" s="327"/>
      <c r="B410" s="328"/>
      <c r="G410" s="329"/>
      <c r="H410" s="329"/>
    </row>
    <row r="411">
      <c r="A411" s="327"/>
      <c r="B411" s="328"/>
      <c r="G411" s="329"/>
      <c r="H411" s="329"/>
    </row>
    <row r="412">
      <c r="A412" s="327"/>
      <c r="B412" s="328"/>
      <c r="G412" s="329"/>
      <c r="H412" s="329"/>
    </row>
    <row r="413">
      <c r="A413" s="327"/>
      <c r="B413" s="328"/>
      <c r="G413" s="329"/>
      <c r="H413" s="329"/>
    </row>
    <row r="414">
      <c r="A414" s="327"/>
      <c r="B414" s="328"/>
      <c r="G414" s="329"/>
      <c r="H414" s="329"/>
    </row>
    <row r="415">
      <c r="A415" s="327"/>
      <c r="B415" s="328"/>
      <c r="G415" s="329"/>
      <c r="H415" s="329"/>
    </row>
    <row r="416">
      <c r="A416" s="327"/>
      <c r="B416" s="328"/>
      <c r="G416" s="329"/>
      <c r="H416" s="329"/>
    </row>
    <row r="417">
      <c r="A417" s="327"/>
      <c r="B417" s="328"/>
      <c r="G417" s="329"/>
      <c r="H417" s="329"/>
    </row>
    <row r="418">
      <c r="A418" s="327"/>
      <c r="B418" s="328"/>
      <c r="G418" s="329"/>
      <c r="H418" s="329"/>
    </row>
    <row r="419">
      <c r="A419" s="327"/>
      <c r="B419" s="328"/>
      <c r="G419" s="329"/>
      <c r="H419" s="329"/>
    </row>
    <row r="420">
      <c r="A420" s="327"/>
      <c r="B420" s="328"/>
      <c r="G420" s="329"/>
      <c r="H420" s="329"/>
    </row>
    <row r="421">
      <c r="A421" s="327"/>
      <c r="B421" s="328"/>
      <c r="G421" s="329"/>
      <c r="H421" s="329"/>
    </row>
    <row r="422">
      <c r="A422" s="327"/>
      <c r="B422" s="328"/>
      <c r="G422" s="329"/>
      <c r="H422" s="329"/>
    </row>
    <row r="423">
      <c r="A423" s="327"/>
      <c r="B423" s="328"/>
      <c r="G423" s="329"/>
      <c r="H423" s="329"/>
    </row>
    <row r="424">
      <c r="A424" s="327"/>
      <c r="B424" s="328"/>
      <c r="G424" s="329"/>
      <c r="H424" s="329"/>
    </row>
    <row r="425">
      <c r="A425" s="327"/>
      <c r="B425" s="328"/>
      <c r="G425" s="329"/>
      <c r="H425" s="329"/>
    </row>
    <row r="426">
      <c r="A426" s="327"/>
      <c r="B426" s="328"/>
      <c r="G426" s="329"/>
      <c r="H426" s="329"/>
    </row>
    <row r="427">
      <c r="A427" s="327"/>
      <c r="B427" s="328"/>
      <c r="G427" s="329"/>
      <c r="H427" s="329"/>
    </row>
    <row r="428">
      <c r="A428" s="327"/>
      <c r="B428" s="328"/>
      <c r="G428" s="329"/>
      <c r="H428" s="329"/>
    </row>
    <row r="429">
      <c r="A429" s="327"/>
      <c r="B429" s="328"/>
      <c r="G429" s="329"/>
      <c r="H429" s="329"/>
    </row>
    <row r="430">
      <c r="A430" s="327"/>
      <c r="B430" s="328"/>
      <c r="G430" s="329"/>
      <c r="H430" s="329"/>
    </row>
    <row r="431">
      <c r="A431" s="327"/>
      <c r="B431" s="328"/>
      <c r="G431" s="329"/>
      <c r="H431" s="329"/>
    </row>
    <row r="432">
      <c r="A432" s="327"/>
      <c r="B432" s="328"/>
      <c r="G432" s="329"/>
      <c r="H432" s="329"/>
    </row>
    <row r="433">
      <c r="A433" s="327"/>
      <c r="B433" s="328"/>
      <c r="G433" s="329"/>
      <c r="H433" s="329"/>
    </row>
    <row r="434">
      <c r="A434" s="327"/>
      <c r="B434" s="328"/>
      <c r="G434" s="329"/>
      <c r="H434" s="329"/>
    </row>
    <row r="435">
      <c r="A435" s="327"/>
      <c r="B435" s="328"/>
      <c r="G435" s="329"/>
      <c r="H435" s="329"/>
    </row>
    <row r="436">
      <c r="A436" s="327"/>
      <c r="B436" s="328"/>
      <c r="G436" s="329"/>
      <c r="H436" s="329"/>
    </row>
    <row r="437">
      <c r="A437" s="327"/>
      <c r="B437" s="328"/>
      <c r="G437" s="329"/>
      <c r="H437" s="329"/>
    </row>
    <row r="438">
      <c r="A438" s="327"/>
      <c r="B438" s="328"/>
      <c r="G438" s="329"/>
      <c r="H438" s="329"/>
    </row>
    <row r="439">
      <c r="A439" s="327"/>
      <c r="B439" s="328"/>
      <c r="G439" s="329"/>
      <c r="H439" s="329"/>
    </row>
    <row r="440">
      <c r="A440" s="327"/>
      <c r="B440" s="328"/>
      <c r="G440" s="329"/>
      <c r="H440" s="329"/>
    </row>
    <row r="441">
      <c r="A441" s="327"/>
      <c r="B441" s="328"/>
      <c r="G441" s="329"/>
      <c r="H441" s="329"/>
    </row>
    <row r="442">
      <c r="A442" s="327"/>
      <c r="B442" s="328"/>
      <c r="G442" s="329"/>
      <c r="H442" s="329"/>
    </row>
    <row r="443">
      <c r="A443" s="327"/>
      <c r="B443" s="328"/>
      <c r="G443" s="329"/>
      <c r="H443" s="329"/>
    </row>
    <row r="444">
      <c r="A444" s="327"/>
      <c r="B444" s="328"/>
      <c r="G444" s="329"/>
      <c r="H444" s="329"/>
    </row>
    <row r="445">
      <c r="A445" s="327"/>
      <c r="B445" s="328"/>
      <c r="G445" s="329"/>
      <c r="H445" s="329"/>
    </row>
    <row r="446">
      <c r="A446" s="327"/>
      <c r="B446" s="328"/>
      <c r="G446" s="329"/>
      <c r="H446" s="329"/>
    </row>
    <row r="447">
      <c r="A447" s="327"/>
      <c r="B447" s="328"/>
      <c r="G447" s="329"/>
      <c r="H447" s="329"/>
    </row>
    <row r="448">
      <c r="A448" s="327"/>
      <c r="B448" s="328"/>
      <c r="G448" s="329"/>
      <c r="H448" s="329"/>
    </row>
    <row r="449">
      <c r="A449" s="327"/>
      <c r="B449" s="328"/>
      <c r="G449" s="329"/>
      <c r="H449" s="329"/>
    </row>
    <row r="450">
      <c r="A450" s="327"/>
      <c r="B450" s="328"/>
      <c r="G450" s="329"/>
      <c r="H450" s="329"/>
    </row>
    <row r="451">
      <c r="A451" s="327"/>
      <c r="B451" s="328"/>
      <c r="G451" s="329"/>
      <c r="H451" s="329"/>
    </row>
    <row r="452">
      <c r="A452" s="327"/>
      <c r="B452" s="328"/>
      <c r="G452" s="329"/>
      <c r="H452" s="329"/>
    </row>
    <row r="453">
      <c r="A453" s="327"/>
      <c r="B453" s="328"/>
      <c r="G453" s="329"/>
      <c r="H453" s="329"/>
    </row>
    <row r="454">
      <c r="A454" s="327"/>
      <c r="B454" s="328"/>
      <c r="G454" s="329"/>
      <c r="H454" s="329"/>
    </row>
    <row r="455">
      <c r="A455" s="327"/>
      <c r="B455" s="328"/>
      <c r="G455" s="329"/>
      <c r="H455" s="329"/>
    </row>
    <row r="456">
      <c r="A456" s="327"/>
      <c r="B456" s="328"/>
      <c r="G456" s="329"/>
      <c r="H456" s="329"/>
    </row>
    <row r="457">
      <c r="A457" s="327"/>
      <c r="B457" s="328"/>
      <c r="G457" s="329"/>
      <c r="H457" s="329"/>
    </row>
    <row r="458">
      <c r="A458" s="327"/>
      <c r="B458" s="328"/>
      <c r="G458" s="329"/>
      <c r="H458" s="329"/>
    </row>
    <row r="459">
      <c r="A459" s="327"/>
      <c r="B459" s="328"/>
      <c r="G459" s="329"/>
      <c r="H459" s="329"/>
    </row>
    <row r="460">
      <c r="A460" s="327"/>
      <c r="B460" s="328"/>
      <c r="G460" s="329"/>
      <c r="H460" s="329"/>
    </row>
    <row r="461">
      <c r="A461" s="327"/>
      <c r="B461" s="328"/>
      <c r="G461" s="329"/>
      <c r="H461" s="329"/>
    </row>
    <row r="462">
      <c r="A462" s="327"/>
      <c r="B462" s="328"/>
      <c r="G462" s="329"/>
      <c r="H462" s="329"/>
    </row>
    <row r="463">
      <c r="A463" s="327"/>
      <c r="B463" s="328"/>
      <c r="G463" s="329"/>
      <c r="H463" s="329"/>
    </row>
    <row r="464">
      <c r="A464" s="327"/>
      <c r="B464" s="328"/>
      <c r="G464" s="329"/>
      <c r="H464" s="329"/>
    </row>
    <row r="465">
      <c r="A465" s="327"/>
      <c r="B465" s="328"/>
      <c r="G465" s="329"/>
      <c r="H465" s="329"/>
    </row>
    <row r="466">
      <c r="A466" s="327"/>
      <c r="B466" s="328"/>
      <c r="G466" s="329"/>
      <c r="H466" s="329"/>
    </row>
    <row r="467">
      <c r="A467" s="327"/>
      <c r="B467" s="328"/>
      <c r="G467" s="329"/>
      <c r="H467" s="329"/>
    </row>
    <row r="468">
      <c r="A468" s="327"/>
      <c r="B468" s="328"/>
      <c r="G468" s="329"/>
      <c r="H468" s="329"/>
    </row>
    <row r="469">
      <c r="A469" s="327"/>
      <c r="B469" s="328"/>
      <c r="G469" s="329"/>
      <c r="H469" s="329"/>
    </row>
    <row r="470">
      <c r="A470" s="327"/>
      <c r="B470" s="328"/>
      <c r="G470" s="329"/>
      <c r="H470" s="329"/>
    </row>
    <row r="471">
      <c r="A471" s="327"/>
      <c r="B471" s="328"/>
      <c r="G471" s="329"/>
      <c r="H471" s="329"/>
    </row>
    <row r="472">
      <c r="A472" s="327"/>
      <c r="B472" s="328"/>
      <c r="G472" s="329"/>
      <c r="H472" s="329"/>
    </row>
    <row r="473">
      <c r="A473" s="327"/>
      <c r="B473" s="328"/>
      <c r="G473" s="329"/>
      <c r="H473" s="329"/>
    </row>
    <row r="474">
      <c r="A474" s="327"/>
      <c r="B474" s="328"/>
      <c r="G474" s="329"/>
      <c r="H474" s="329"/>
    </row>
    <row r="475">
      <c r="A475" s="327"/>
      <c r="B475" s="328"/>
      <c r="G475" s="329"/>
      <c r="H475" s="329"/>
    </row>
    <row r="476">
      <c r="A476" s="327"/>
      <c r="B476" s="328"/>
      <c r="G476" s="329"/>
      <c r="H476" s="329"/>
    </row>
    <row r="477">
      <c r="A477" s="327"/>
      <c r="B477" s="328"/>
      <c r="G477" s="329"/>
      <c r="H477" s="329"/>
    </row>
    <row r="478">
      <c r="A478" s="327"/>
      <c r="B478" s="328"/>
      <c r="G478" s="329"/>
      <c r="H478" s="329"/>
    </row>
    <row r="479">
      <c r="A479" s="327"/>
      <c r="B479" s="328"/>
      <c r="G479" s="329"/>
      <c r="H479" s="329"/>
    </row>
    <row r="480">
      <c r="A480" s="327"/>
      <c r="B480" s="328"/>
      <c r="G480" s="329"/>
      <c r="H480" s="329"/>
    </row>
    <row r="481">
      <c r="A481" s="327"/>
      <c r="B481" s="328"/>
      <c r="G481" s="329"/>
      <c r="H481" s="329"/>
    </row>
    <row r="482">
      <c r="A482" s="327"/>
      <c r="B482" s="328"/>
      <c r="G482" s="329"/>
      <c r="H482" s="329"/>
    </row>
    <row r="483">
      <c r="A483" s="327"/>
      <c r="B483" s="328"/>
      <c r="G483" s="329"/>
      <c r="H483" s="329"/>
    </row>
    <row r="484">
      <c r="A484" s="327"/>
      <c r="B484" s="328"/>
      <c r="G484" s="329"/>
      <c r="H484" s="329"/>
    </row>
    <row r="485">
      <c r="A485" s="327"/>
      <c r="B485" s="328"/>
      <c r="G485" s="329"/>
      <c r="H485" s="329"/>
    </row>
    <row r="486">
      <c r="A486" s="327"/>
      <c r="B486" s="328"/>
      <c r="G486" s="329"/>
      <c r="H486" s="329"/>
    </row>
    <row r="487">
      <c r="A487" s="327"/>
      <c r="B487" s="328"/>
      <c r="G487" s="329"/>
      <c r="H487" s="329"/>
    </row>
    <row r="488">
      <c r="A488" s="327"/>
      <c r="B488" s="328"/>
      <c r="G488" s="329"/>
      <c r="H488" s="329"/>
    </row>
    <row r="489">
      <c r="A489" s="327"/>
      <c r="B489" s="328"/>
      <c r="G489" s="329"/>
      <c r="H489" s="329"/>
    </row>
    <row r="490">
      <c r="A490" s="327"/>
      <c r="B490" s="328"/>
      <c r="G490" s="329"/>
      <c r="H490" s="329"/>
    </row>
    <row r="491">
      <c r="A491" s="327"/>
      <c r="B491" s="328"/>
      <c r="G491" s="329"/>
      <c r="H491" s="329"/>
    </row>
    <row r="492">
      <c r="A492" s="327"/>
      <c r="B492" s="328"/>
      <c r="G492" s="329"/>
      <c r="H492" s="329"/>
    </row>
    <row r="493">
      <c r="A493" s="327"/>
      <c r="B493" s="328"/>
      <c r="G493" s="329"/>
      <c r="H493" s="329"/>
    </row>
    <row r="494">
      <c r="A494" s="327"/>
      <c r="B494" s="328"/>
      <c r="G494" s="329"/>
      <c r="H494" s="329"/>
    </row>
    <row r="495">
      <c r="A495" s="327"/>
      <c r="B495" s="328"/>
      <c r="G495" s="329"/>
      <c r="H495" s="329"/>
    </row>
    <row r="496">
      <c r="A496" s="327"/>
      <c r="B496" s="328"/>
      <c r="G496" s="329"/>
      <c r="H496" s="329"/>
    </row>
    <row r="497">
      <c r="A497" s="327"/>
      <c r="B497" s="328"/>
      <c r="G497" s="329"/>
      <c r="H497" s="329"/>
    </row>
    <row r="498">
      <c r="A498" s="327"/>
      <c r="B498" s="328"/>
      <c r="G498" s="329"/>
      <c r="H498" s="329"/>
    </row>
    <row r="499">
      <c r="A499" s="327"/>
      <c r="B499" s="328"/>
      <c r="G499" s="329"/>
      <c r="H499" s="329"/>
    </row>
    <row r="500">
      <c r="A500" s="327"/>
      <c r="B500" s="328"/>
      <c r="G500" s="329"/>
      <c r="H500" s="329"/>
    </row>
    <row r="501">
      <c r="A501" s="327"/>
      <c r="B501" s="328"/>
      <c r="G501" s="329"/>
      <c r="H501" s="329"/>
    </row>
    <row r="502">
      <c r="A502" s="327"/>
      <c r="B502" s="328"/>
      <c r="G502" s="329"/>
      <c r="H502" s="329"/>
    </row>
    <row r="503">
      <c r="A503" s="327"/>
      <c r="B503" s="328"/>
      <c r="G503" s="329"/>
      <c r="H503" s="329"/>
    </row>
    <row r="504">
      <c r="A504" s="327"/>
      <c r="B504" s="328"/>
      <c r="G504" s="329"/>
      <c r="H504" s="329"/>
    </row>
    <row r="505">
      <c r="A505" s="327"/>
      <c r="B505" s="328"/>
      <c r="G505" s="329"/>
      <c r="H505" s="329"/>
    </row>
    <row r="506">
      <c r="A506" s="327"/>
      <c r="B506" s="328"/>
      <c r="G506" s="329"/>
      <c r="H506" s="329"/>
    </row>
    <row r="507">
      <c r="A507" s="327"/>
      <c r="B507" s="328"/>
      <c r="G507" s="329"/>
      <c r="H507" s="329"/>
    </row>
    <row r="508">
      <c r="A508" s="327"/>
      <c r="B508" s="328"/>
      <c r="G508" s="329"/>
      <c r="H508" s="329"/>
    </row>
    <row r="509">
      <c r="A509" s="327"/>
      <c r="B509" s="328"/>
      <c r="G509" s="329"/>
      <c r="H509" s="329"/>
    </row>
    <row r="510">
      <c r="A510" s="327"/>
      <c r="B510" s="328"/>
      <c r="G510" s="329"/>
      <c r="H510" s="329"/>
    </row>
    <row r="511">
      <c r="A511" s="327"/>
      <c r="B511" s="328"/>
      <c r="G511" s="329"/>
      <c r="H511" s="329"/>
    </row>
    <row r="512">
      <c r="A512" s="327"/>
      <c r="B512" s="328"/>
      <c r="G512" s="329"/>
      <c r="H512" s="329"/>
    </row>
    <row r="513">
      <c r="A513" s="327"/>
      <c r="B513" s="328"/>
      <c r="G513" s="329"/>
      <c r="H513" s="329"/>
    </row>
    <row r="514">
      <c r="A514" s="327"/>
      <c r="B514" s="328"/>
      <c r="G514" s="329"/>
      <c r="H514" s="329"/>
    </row>
    <row r="515">
      <c r="A515" s="327"/>
      <c r="B515" s="328"/>
      <c r="G515" s="329"/>
      <c r="H515" s="329"/>
    </row>
    <row r="516">
      <c r="A516" s="327"/>
      <c r="B516" s="328"/>
      <c r="G516" s="329"/>
      <c r="H516" s="329"/>
    </row>
    <row r="517">
      <c r="A517" s="327"/>
      <c r="B517" s="328"/>
      <c r="G517" s="329"/>
      <c r="H517" s="329"/>
    </row>
    <row r="518">
      <c r="A518" s="327"/>
      <c r="B518" s="328"/>
      <c r="G518" s="329"/>
      <c r="H518" s="329"/>
    </row>
    <row r="519">
      <c r="A519" s="327"/>
      <c r="B519" s="328"/>
      <c r="G519" s="329"/>
      <c r="H519" s="329"/>
    </row>
    <row r="520">
      <c r="A520" s="327"/>
      <c r="B520" s="328"/>
      <c r="G520" s="329"/>
      <c r="H520" s="329"/>
    </row>
    <row r="521">
      <c r="A521" s="327"/>
      <c r="B521" s="328"/>
      <c r="G521" s="329"/>
      <c r="H521" s="329"/>
    </row>
    <row r="522">
      <c r="A522" s="327"/>
      <c r="B522" s="328"/>
      <c r="G522" s="329"/>
      <c r="H522" s="329"/>
    </row>
    <row r="523">
      <c r="A523" s="327"/>
      <c r="B523" s="328"/>
      <c r="G523" s="329"/>
      <c r="H523" s="329"/>
    </row>
    <row r="524">
      <c r="A524" s="327"/>
      <c r="B524" s="328"/>
      <c r="G524" s="329"/>
      <c r="H524" s="329"/>
    </row>
    <row r="525">
      <c r="A525" s="327"/>
      <c r="B525" s="328"/>
      <c r="G525" s="329"/>
      <c r="H525" s="329"/>
    </row>
    <row r="526">
      <c r="A526" s="327"/>
      <c r="B526" s="328"/>
      <c r="G526" s="329"/>
      <c r="H526" s="329"/>
    </row>
    <row r="527">
      <c r="A527" s="327"/>
      <c r="B527" s="328"/>
      <c r="G527" s="329"/>
      <c r="H527" s="329"/>
    </row>
    <row r="528">
      <c r="A528" s="327"/>
      <c r="B528" s="328"/>
      <c r="G528" s="329"/>
      <c r="H528" s="329"/>
    </row>
    <row r="529">
      <c r="A529" s="327"/>
      <c r="B529" s="328"/>
      <c r="G529" s="329"/>
      <c r="H529" s="329"/>
    </row>
    <row r="530">
      <c r="A530" s="327"/>
      <c r="B530" s="328"/>
      <c r="G530" s="329"/>
      <c r="H530" s="329"/>
    </row>
    <row r="531">
      <c r="A531" s="327"/>
      <c r="B531" s="328"/>
      <c r="G531" s="329"/>
      <c r="H531" s="329"/>
    </row>
    <row r="532">
      <c r="A532" s="327"/>
      <c r="B532" s="328"/>
      <c r="G532" s="329"/>
      <c r="H532" s="329"/>
    </row>
    <row r="533">
      <c r="A533" s="327"/>
      <c r="B533" s="328"/>
      <c r="G533" s="329"/>
      <c r="H533" s="329"/>
    </row>
    <row r="534">
      <c r="A534" s="327"/>
      <c r="B534" s="328"/>
      <c r="G534" s="329"/>
      <c r="H534" s="329"/>
    </row>
    <row r="535">
      <c r="A535" s="327"/>
      <c r="B535" s="328"/>
      <c r="G535" s="329"/>
      <c r="H535" s="329"/>
    </row>
    <row r="536">
      <c r="A536" s="327"/>
      <c r="B536" s="328"/>
      <c r="G536" s="329"/>
      <c r="H536" s="329"/>
    </row>
    <row r="537">
      <c r="A537" s="327"/>
      <c r="B537" s="328"/>
      <c r="G537" s="329"/>
      <c r="H537" s="329"/>
    </row>
    <row r="538">
      <c r="A538" s="327"/>
      <c r="B538" s="328"/>
      <c r="G538" s="329"/>
      <c r="H538" s="329"/>
    </row>
    <row r="539">
      <c r="A539" s="327"/>
      <c r="B539" s="328"/>
      <c r="G539" s="329"/>
      <c r="H539" s="329"/>
    </row>
    <row r="540">
      <c r="A540" s="327"/>
      <c r="B540" s="328"/>
      <c r="G540" s="329"/>
      <c r="H540" s="329"/>
    </row>
    <row r="541">
      <c r="A541" s="327"/>
      <c r="B541" s="328"/>
      <c r="G541" s="329"/>
      <c r="H541" s="329"/>
    </row>
    <row r="542">
      <c r="A542" s="327"/>
      <c r="B542" s="328"/>
      <c r="G542" s="329"/>
      <c r="H542" s="329"/>
    </row>
    <row r="543">
      <c r="A543" s="327"/>
      <c r="B543" s="328"/>
      <c r="G543" s="329"/>
      <c r="H543" s="329"/>
    </row>
    <row r="544">
      <c r="A544" s="327"/>
      <c r="B544" s="328"/>
      <c r="G544" s="329"/>
      <c r="H544" s="329"/>
    </row>
    <row r="545">
      <c r="A545" s="327"/>
      <c r="B545" s="328"/>
      <c r="G545" s="329"/>
      <c r="H545" s="329"/>
    </row>
    <row r="546">
      <c r="A546" s="327"/>
      <c r="B546" s="328"/>
      <c r="G546" s="329"/>
      <c r="H546" s="329"/>
    </row>
    <row r="547">
      <c r="A547" s="327"/>
      <c r="B547" s="328"/>
      <c r="G547" s="329"/>
      <c r="H547" s="329"/>
    </row>
    <row r="548">
      <c r="A548" s="327"/>
      <c r="B548" s="328"/>
      <c r="G548" s="329"/>
      <c r="H548" s="329"/>
    </row>
    <row r="549">
      <c r="A549" s="327"/>
      <c r="B549" s="328"/>
      <c r="G549" s="329"/>
      <c r="H549" s="329"/>
    </row>
    <row r="550">
      <c r="A550" s="327"/>
      <c r="B550" s="328"/>
      <c r="G550" s="329"/>
      <c r="H550" s="329"/>
    </row>
    <row r="551">
      <c r="A551" s="327"/>
      <c r="B551" s="328"/>
      <c r="G551" s="329"/>
      <c r="H551" s="329"/>
    </row>
    <row r="552">
      <c r="A552" s="327"/>
      <c r="B552" s="328"/>
      <c r="G552" s="329"/>
      <c r="H552" s="329"/>
    </row>
    <row r="553">
      <c r="A553" s="327"/>
      <c r="B553" s="328"/>
      <c r="G553" s="329"/>
      <c r="H553" s="329"/>
    </row>
    <row r="554">
      <c r="A554" s="327"/>
      <c r="B554" s="328"/>
      <c r="G554" s="329"/>
      <c r="H554" s="329"/>
    </row>
    <row r="555">
      <c r="A555" s="327"/>
      <c r="B555" s="328"/>
      <c r="G555" s="329"/>
      <c r="H555" s="329"/>
    </row>
    <row r="556">
      <c r="A556" s="327"/>
      <c r="B556" s="328"/>
      <c r="G556" s="329"/>
      <c r="H556" s="329"/>
    </row>
    <row r="557">
      <c r="A557" s="327"/>
      <c r="B557" s="328"/>
      <c r="G557" s="329"/>
      <c r="H557" s="329"/>
    </row>
    <row r="558">
      <c r="A558" s="327"/>
      <c r="B558" s="328"/>
      <c r="G558" s="329"/>
      <c r="H558" s="329"/>
    </row>
    <row r="559">
      <c r="A559" s="327"/>
      <c r="B559" s="328"/>
      <c r="G559" s="329"/>
      <c r="H559" s="329"/>
    </row>
    <row r="560">
      <c r="A560" s="327"/>
      <c r="B560" s="328"/>
      <c r="G560" s="329"/>
      <c r="H560" s="329"/>
    </row>
    <row r="561">
      <c r="A561" s="327"/>
      <c r="B561" s="328"/>
      <c r="G561" s="329"/>
      <c r="H561" s="329"/>
    </row>
    <row r="562">
      <c r="A562" s="327"/>
      <c r="B562" s="328"/>
      <c r="G562" s="329"/>
      <c r="H562" s="329"/>
    </row>
    <row r="563">
      <c r="A563" s="327"/>
      <c r="B563" s="328"/>
      <c r="G563" s="329"/>
      <c r="H563" s="329"/>
    </row>
    <row r="564">
      <c r="A564" s="327"/>
      <c r="B564" s="328"/>
      <c r="G564" s="329"/>
      <c r="H564" s="329"/>
    </row>
    <row r="565">
      <c r="A565" s="327"/>
      <c r="B565" s="328"/>
      <c r="G565" s="329"/>
      <c r="H565" s="329"/>
    </row>
    <row r="566">
      <c r="A566" s="327"/>
      <c r="B566" s="328"/>
      <c r="G566" s="329"/>
      <c r="H566" s="329"/>
    </row>
    <row r="567">
      <c r="A567" s="327"/>
      <c r="B567" s="328"/>
      <c r="G567" s="329"/>
      <c r="H567" s="329"/>
    </row>
    <row r="568">
      <c r="A568" s="327"/>
      <c r="B568" s="328"/>
      <c r="G568" s="329"/>
      <c r="H568" s="329"/>
    </row>
    <row r="569">
      <c r="A569" s="327"/>
      <c r="B569" s="328"/>
      <c r="G569" s="329"/>
      <c r="H569" s="329"/>
    </row>
    <row r="570">
      <c r="A570" s="327"/>
      <c r="B570" s="328"/>
      <c r="G570" s="329"/>
      <c r="H570" s="329"/>
    </row>
    <row r="571">
      <c r="A571" s="327"/>
      <c r="B571" s="328"/>
      <c r="G571" s="329"/>
      <c r="H571" s="329"/>
    </row>
    <row r="572">
      <c r="A572" s="327"/>
      <c r="B572" s="328"/>
      <c r="G572" s="329"/>
      <c r="H572" s="329"/>
    </row>
    <row r="573">
      <c r="A573" s="327"/>
      <c r="B573" s="328"/>
      <c r="G573" s="329"/>
      <c r="H573" s="329"/>
    </row>
    <row r="574">
      <c r="A574" s="327"/>
      <c r="B574" s="328"/>
      <c r="G574" s="329"/>
      <c r="H574" s="329"/>
    </row>
    <row r="575">
      <c r="A575" s="327"/>
      <c r="B575" s="328"/>
      <c r="G575" s="329"/>
      <c r="H575" s="329"/>
    </row>
    <row r="576">
      <c r="A576" s="327"/>
      <c r="B576" s="328"/>
      <c r="G576" s="329"/>
      <c r="H576" s="329"/>
    </row>
    <row r="577">
      <c r="A577" s="327"/>
      <c r="B577" s="328"/>
      <c r="G577" s="329"/>
      <c r="H577" s="329"/>
    </row>
    <row r="578">
      <c r="A578" s="327"/>
      <c r="B578" s="328"/>
      <c r="G578" s="329"/>
      <c r="H578" s="329"/>
    </row>
    <row r="579">
      <c r="A579" s="327"/>
      <c r="B579" s="328"/>
      <c r="G579" s="329"/>
      <c r="H579" s="329"/>
    </row>
    <row r="580">
      <c r="A580" s="327"/>
      <c r="B580" s="328"/>
      <c r="G580" s="329"/>
      <c r="H580" s="329"/>
    </row>
    <row r="581">
      <c r="A581" s="327"/>
      <c r="B581" s="328"/>
      <c r="G581" s="329"/>
      <c r="H581" s="329"/>
    </row>
    <row r="582">
      <c r="A582" s="327"/>
      <c r="B582" s="328"/>
      <c r="G582" s="329"/>
      <c r="H582" s="329"/>
    </row>
    <row r="583">
      <c r="A583" s="327"/>
      <c r="B583" s="328"/>
      <c r="G583" s="329"/>
      <c r="H583" s="329"/>
    </row>
    <row r="584">
      <c r="A584" s="327"/>
      <c r="B584" s="328"/>
      <c r="G584" s="329"/>
      <c r="H584" s="329"/>
    </row>
    <row r="585">
      <c r="A585" s="327"/>
      <c r="B585" s="328"/>
      <c r="G585" s="329"/>
      <c r="H585" s="329"/>
    </row>
    <row r="586">
      <c r="A586" s="327"/>
      <c r="B586" s="328"/>
      <c r="G586" s="329"/>
      <c r="H586" s="329"/>
    </row>
    <row r="587">
      <c r="A587" s="327"/>
      <c r="B587" s="328"/>
      <c r="G587" s="329"/>
      <c r="H587" s="329"/>
    </row>
    <row r="588">
      <c r="A588" s="327"/>
      <c r="B588" s="328"/>
      <c r="G588" s="329"/>
      <c r="H588" s="329"/>
    </row>
    <row r="589">
      <c r="A589" s="327"/>
      <c r="B589" s="328"/>
      <c r="G589" s="329"/>
      <c r="H589" s="329"/>
    </row>
    <row r="590">
      <c r="A590" s="327"/>
      <c r="B590" s="328"/>
      <c r="G590" s="329"/>
      <c r="H590" s="329"/>
    </row>
    <row r="591">
      <c r="A591" s="327"/>
      <c r="B591" s="328"/>
      <c r="G591" s="329"/>
      <c r="H591" s="329"/>
    </row>
    <row r="592">
      <c r="A592" s="327"/>
      <c r="B592" s="328"/>
      <c r="G592" s="329"/>
      <c r="H592" s="329"/>
    </row>
    <row r="593">
      <c r="A593" s="327"/>
      <c r="B593" s="328"/>
      <c r="G593" s="329"/>
      <c r="H593" s="329"/>
    </row>
    <row r="594">
      <c r="A594" s="327"/>
      <c r="B594" s="328"/>
      <c r="G594" s="329"/>
      <c r="H594" s="329"/>
    </row>
    <row r="595">
      <c r="A595" s="327"/>
      <c r="B595" s="328"/>
      <c r="G595" s="329"/>
      <c r="H595" s="329"/>
    </row>
    <row r="596">
      <c r="A596" s="327"/>
      <c r="B596" s="328"/>
      <c r="G596" s="329"/>
      <c r="H596" s="329"/>
    </row>
    <row r="597">
      <c r="A597" s="327"/>
      <c r="B597" s="328"/>
      <c r="G597" s="329"/>
      <c r="H597" s="329"/>
    </row>
    <row r="598">
      <c r="A598" s="327"/>
      <c r="B598" s="328"/>
      <c r="G598" s="329"/>
      <c r="H598" s="329"/>
    </row>
    <row r="599">
      <c r="A599" s="327"/>
      <c r="B599" s="328"/>
      <c r="G599" s="329"/>
      <c r="H599" s="329"/>
    </row>
    <row r="600">
      <c r="A600" s="327"/>
      <c r="B600" s="328"/>
      <c r="G600" s="329"/>
      <c r="H600" s="329"/>
    </row>
    <row r="601">
      <c r="A601" s="327"/>
      <c r="B601" s="328"/>
      <c r="G601" s="329"/>
      <c r="H601" s="329"/>
    </row>
    <row r="602">
      <c r="A602" s="327"/>
      <c r="B602" s="328"/>
      <c r="G602" s="329"/>
      <c r="H602" s="329"/>
    </row>
    <row r="603">
      <c r="A603" s="327"/>
      <c r="B603" s="328"/>
      <c r="G603" s="329"/>
      <c r="H603" s="329"/>
    </row>
    <row r="604">
      <c r="A604" s="327"/>
      <c r="B604" s="328"/>
      <c r="G604" s="329"/>
      <c r="H604" s="329"/>
    </row>
    <row r="605">
      <c r="A605" s="327"/>
      <c r="B605" s="328"/>
      <c r="G605" s="329"/>
      <c r="H605" s="329"/>
    </row>
    <row r="606">
      <c r="A606" s="327"/>
      <c r="B606" s="328"/>
      <c r="G606" s="329"/>
      <c r="H606" s="329"/>
    </row>
    <row r="607">
      <c r="A607" s="327"/>
      <c r="B607" s="328"/>
      <c r="G607" s="329"/>
      <c r="H607" s="329"/>
    </row>
    <row r="608">
      <c r="A608" s="327"/>
      <c r="B608" s="328"/>
      <c r="G608" s="329"/>
      <c r="H608" s="329"/>
    </row>
    <row r="609">
      <c r="A609" s="327"/>
      <c r="B609" s="328"/>
      <c r="G609" s="329"/>
      <c r="H609" s="329"/>
    </row>
    <row r="610">
      <c r="A610" s="327"/>
      <c r="B610" s="328"/>
      <c r="G610" s="329"/>
      <c r="H610" s="329"/>
    </row>
    <row r="611">
      <c r="A611" s="327"/>
      <c r="B611" s="328"/>
      <c r="G611" s="329"/>
      <c r="H611" s="329"/>
    </row>
    <row r="612">
      <c r="A612" s="327"/>
      <c r="B612" s="328"/>
      <c r="G612" s="329"/>
      <c r="H612" s="329"/>
    </row>
    <row r="613">
      <c r="A613" s="327"/>
      <c r="B613" s="328"/>
      <c r="G613" s="329"/>
      <c r="H613" s="329"/>
    </row>
    <row r="614">
      <c r="A614" s="327"/>
      <c r="B614" s="328"/>
      <c r="G614" s="329"/>
      <c r="H614" s="329"/>
    </row>
    <row r="615">
      <c r="A615" s="327"/>
      <c r="B615" s="328"/>
      <c r="G615" s="329"/>
      <c r="H615" s="329"/>
    </row>
    <row r="616">
      <c r="A616" s="327"/>
      <c r="B616" s="328"/>
      <c r="G616" s="329"/>
      <c r="H616" s="329"/>
    </row>
    <row r="617">
      <c r="A617" s="327"/>
      <c r="B617" s="328"/>
      <c r="G617" s="329"/>
      <c r="H617" s="329"/>
    </row>
    <row r="618">
      <c r="A618" s="327"/>
      <c r="B618" s="328"/>
      <c r="G618" s="329"/>
      <c r="H618" s="329"/>
    </row>
    <row r="619">
      <c r="A619" s="327"/>
      <c r="B619" s="328"/>
      <c r="G619" s="329"/>
      <c r="H619" s="329"/>
    </row>
    <row r="620">
      <c r="A620" s="327"/>
      <c r="B620" s="328"/>
      <c r="G620" s="329"/>
      <c r="H620" s="329"/>
    </row>
    <row r="621">
      <c r="A621" s="327"/>
      <c r="B621" s="328"/>
      <c r="G621" s="329"/>
      <c r="H621" s="329"/>
    </row>
    <row r="622">
      <c r="A622" s="327"/>
      <c r="B622" s="328"/>
      <c r="G622" s="329"/>
      <c r="H622" s="329"/>
    </row>
    <row r="623">
      <c r="A623" s="327"/>
      <c r="B623" s="328"/>
      <c r="G623" s="329"/>
      <c r="H623" s="329"/>
    </row>
    <row r="624">
      <c r="A624" s="327"/>
      <c r="B624" s="328"/>
      <c r="G624" s="329"/>
      <c r="H624" s="329"/>
    </row>
    <row r="625">
      <c r="A625" s="327"/>
      <c r="B625" s="328"/>
      <c r="G625" s="329"/>
      <c r="H625" s="329"/>
    </row>
    <row r="626">
      <c r="A626" s="327"/>
      <c r="B626" s="328"/>
      <c r="G626" s="329"/>
      <c r="H626" s="329"/>
    </row>
    <row r="627">
      <c r="A627" s="327"/>
      <c r="B627" s="328"/>
      <c r="G627" s="329"/>
      <c r="H627" s="329"/>
    </row>
    <row r="628">
      <c r="A628" s="327"/>
      <c r="B628" s="328"/>
      <c r="G628" s="329"/>
      <c r="H628" s="329"/>
    </row>
    <row r="629">
      <c r="A629" s="327"/>
      <c r="B629" s="328"/>
      <c r="G629" s="329"/>
      <c r="H629" s="329"/>
    </row>
    <row r="630">
      <c r="A630" s="327"/>
      <c r="B630" s="328"/>
      <c r="G630" s="329"/>
      <c r="H630" s="329"/>
    </row>
    <row r="631">
      <c r="A631" s="327"/>
      <c r="B631" s="328"/>
      <c r="G631" s="329"/>
      <c r="H631" s="329"/>
    </row>
    <row r="632">
      <c r="A632" s="327"/>
      <c r="B632" s="328"/>
      <c r="G632" s="329"/>
      <c r="H632" s="329"/>
    </row>
    <row r="633">
      <c r="A633" s="327"/>
      <c r="B633" s="328"/>
      <c r="G633" s="329"/>
      <c r="H633" s="329"/>
    </row>
    <row r="634">
      <c r="A634" s="327"/>
      <c r="B634" s="328"/>
      <c r="G634" s="329"/>
      <c r="H634" s="329"/>
    </row>
    <row r="635">
      <c r="A635" s="327"/>
      <c r="B635" s="328"/>
      <c r="G635" s="329"/>
      <c r="H635" s="329"/>
    </row>
    <row r="636">
      <c r="A636" s="327"/>
      <c r="B636" s="328"/>
      <c r="G636" s="329"/>
      <c r="H636" s="329"/>
    </row>
    <row r="637">
      <c r="A637" s="327"/>
      <c r="B637" s="328"/>
      <c r="G637" s="329"/>
      <c r="H637" s="329"/>
    </row>
    <row r="638">
      <c r="A638" s="327"/>
      <c r="B638" s="328"/>
      <c r="G638" s="329"/>
      <c r="H638" s="329"/>
    </row>
    <row r="639">
      <c r="A639" s="327"/>
      <c r="B639" s="328"/>
      <c r="G639" s="329"/>
      <c r="H639" s="329"/>
    </row>
    <row r="640">
      <c r="A640" s="327"/>
      <c r="B640" s="328"/>
      <c r="G640" s="329"/>
      <c r="H640" s="329"/>
    </row>
    <row r="641">
      <c r="A641" s="327"/>
      <c r="B641" s="328"/>
      <c r="G641" s="329"/>
      <c r="H641" s="329"/>
    </row>
    <row r="642">
      <c r="A642" s="327"/>
      <c r="B642" s="328"/>
      <c r="G642" s="329"/>
      <c r="H642" s="329"/>
    </row>
    <row r="643">
      <c r="A643" s="327"/>
      <c r="B643" s="328"/>
      <c r="G643" s="329"/>
      <c r="H643" s="329"/>
    </row>
    <row r="644">
      <c r="A644" s="327"/>
      <c r="B644" s="328"/>
      <c r="G644" s="329"/>
      <c r="H644" s="329"/>
    </row>
    <row r="645">
      <c r="A645" s="327"/>
      <c r="B645" s="328"/>
      <c r="G645" s="329"/>
      <c r="H645" s="329"/>
    </row>
    <row r="646">
      <c r="A646" s="327"/>
      <c r="B646" s="328"/>
      <c r="G646" s="329"/>
      <c r="H646" s="329"/>
    </row>
    <row r="647">
      <c r="A647" s="327"/>
      <c r="B647" s="328"/>
      <c r="G647" s="329"/>
      <c r="H647" s="329"/>
    </row>
    <row r="648">
      <c r="A648" s="327"/>
      <c r="B648" s="328"/>
      <c r="G648" s="329"/>
      <c r="H648" s="329"/>
    </row>
    <row r="649">
      <c r="A649" s="327"/>
      <c r="B649" s="328"/>
      <c r="G649" s="329"/>
      <c r="H649" s="329"/>
    </row>
    <row r="650">
      <c r="A650" s="327"/>
      <c r="B650" s="328"/>
      <c r="G650" s="329"/>
      <c r="H650" s="329"/>
    </row>
    <row r="651">
      <c r="A651" s="327"/>
      <c r="B651" s="328"/>
      <c r="G651" s="329"/>
      <c r="H651" s="329"/>
    </row>
    <row r="652">
      <c r="A652" s="327"/>
      <c r="B652" s="328"/>
      <c r="G652" s="329"/>
      <c r="H652" s="329"/>
    </row>
    <row r="653">
      <c r="A653" s="327"/>
      <c r="B653" s="328"/>
      <c r="G653" s="329"/>
      <c r="H653" s="329"/>
    </row>
    <row r="654">
      <c r="A654" s="327"/>
      <c r="B654" s="328"/>
      <c r="G654" s="329"/>
      <c r="H654" s="329"/>
    </row>
    <row r="655">
      <c r="A655" s="327"/>
      <c r="B655" s="328"/>
      <c r="G655" s="329"/>
      <c r="H655" s="329"/>
    </row>
    <row r="656">
      <c r="A656" s="327"/>
      <c r="B656" s="328"/>
      <c r="G656" s="329"/>
      <c r="H656" s="329"/>
    </row>
    <row r="657">
      <c r="A657" s="327"/>
      <c r="B657" s="328"/>
      <c r="G657" s="329"/>
      <c r="H657" s="329"/>
    </row>
    <row r="658">
      <c r="A658" s="327"/>
      <c r="B658" s="328"/>
      <c r="G658" s="329"/>
      <c r="H658" s="329"/>
    </row>
    <row r="659">
      <c r="A659" s="327"/>
      <c r="B659" s="328"/>
      <c r="G659" s="329"/>
      <c r="H659" s="329"/>
    </row>
    <row r="660">
      <c r="A660" s="327"/>
      <c r="B660" s="328"/>
      <c r="G660" s="329"/>
      <c r="H660" s="329"/>
    </row>
    <row r="661">
      <c r="A661" s="327"/>
      <c r="B661" s="328"/>
      <c r="G661" s="329"/>
      <c r="H661" s="329"/>
    </row>
    <row r="662">
      <c r="A662" s="327"/>
      <c r="B662" s="328"/>
      <c r="G662" s="329"/>
      <c r="H662" s="329"/>
    </row>
    <row r="663">
      <c r="A663" s="327"/>
      <c r="B663" s="328"/>
      <c r="G663" s="329"/>
      <c r="H663" s="329"/>
    </row>
    <row r="664">
      <c r="A664" s="327"/>
      <c r="B664" s="328"/>
      <c r="G664" s="329"/>
      <c r="H664" s="329"/>
    </row>
    <row r="665">
      <c r="A665" s="327"/>
      <c r="B665" s="328"/>
      <c r="G665" s="329"/>
      <c r="H665" s="329"/>
    </row>
    <row r="666">
      <c r="A666" s="327"/>
      <c r="B666" s="328"/>
      <c r="G666" s="329"/>
      <c r="H666" s="329"/>
    </row>
    <row r="667">
      <c r="A667" s="327"/>
      <c r="B667" s="328"/>
      <c r="G667" s="329"/>
      <c r="H667" s="329"/>
    </row>
    <row r="668">
      <c r="A668" s="327"/>
      <c r="B668" s="328"/>
      <c r="G668" s="329"/>
      <c r="H668" s="329"/>
    </row>
    <row r="669">
      <c r="A669" s="327"/>
      <c r="B669" s="328"/>
      <c r="G669" s="329"/>
      <c r="H669" s="329"/>
    </row>
    <row r="670">
      <c r="A670" s="327"/>
      <c r="B670" s="328"/>
      <c r="G670" s="329"/>
      <c r="H670" s="329"/>
    </row>
    <row r="671">
      <c r="A671" s="327"/>
      <c r="B671" s="328"/>
      <c r="G671" s="329"/>
      <c r="H671" s="329"/>
    </row>
    <row r="672">
      <c r="A672" s="327"/>
      <c r="B672" s="328"/>
      <c r="G672" s="329"/>
      <c r="H672" s="329"/>
    </row>
    <row r="673">
      <c r="A673" s="327"/>
      <c r="B673" s="328"/>
      <c r="G673" s="329"/>
      <c r="H673" s="329"/>
    </row>
    <row r="674">
      <c r="A674" s="327"/>
      <c r="B674" s="328"/>
      <c r="G674" s="329"/>
      <c r="H674" s="329"/>
    </row>
    <row r="675">
      <c r="A675" s="327"/>
      <c r="B675" s="328"/>
      <c r="G675" s="329"/>
      <c r="H675" s="329"/>
    </row>
    <row r="676">
      <c r="A676" s="327"/>
      <c r="B676" s="328"/>
      <c r="G676" s="329"/>
      <c r="H676" s="329"/>
    </row>
    <row r="677">
      <c r="A677" s="327"/>
      <c r="B677" s="328"/>
      <c r="G677" s="329"/>
      <c r="H677" s="329"/>
    </row>
    <row r="678">
      <c r="A678" s="327"/>
      <c r="B678" s="328"/>
      <c r="G678" s="329"/>
      <c r="H678" s="329"/>
    </row>
    <row r="679">
      <c r="A679" s="327"/>
      <c r="B679" s="328"/>
      <c r="G679" s="329"/>
      <c r="H679" s="329"/>
    </row>
    <row r="680">
      <c r="A680" s="327"/>
      <c r="B680" s="328"/>
      <c r="G680" s="329"/>
      <c r="H680" s="329"/>
    </row>
    <row r="681">
      <c r="A681" s="327"/>
      <c r="B681" s="328"/>
      <c r="G681" s="329"/>
      <c r="H681" s="329"/>
    </row>
    <row r="682">
      <c r="A682" s="327"/>
      <c r="B682" s="328"/>
      <c r="G682" s="329"/>
      <c r="H682" s="329"/>
    </row>
    <row r="683">
      <c r="A683" s="327"/>
      <c r="B683" s="328"/>
      <c r="G683" s="329"/>
      <c r="H683" s="329"/>
    </row>
    <row r="684">
      <c r="A684" s="327"/>
      <c r="B684" s="328"/>
      <c r="G684" s="329"/>
      <c r="H684" s="329"/>
    </row>
    <row r="685">
      <c r="A685" s="327"/>
      <c r="B685" s="328"/>
      <c r="G685" s="329"/>
      <c r="H685" s="329"/>
    </row>
    <row r="686">
      <c r="A686" s="327"/>
      <c r="B686" s="328"/>
      <c r="G686" s="329"/>
      <c r="H686" s="329"/>
    </row>
    <row r="687">
      <c r="A687" s="327"/>
      <c r="B687" s="328"/>
      <c r="G687" s="329"/>
      <c r="H687" s="329"/>
    </row>
    <row r="688">
      <c r="A688" s="327"/>
      <c r="B688" s="328"/>
      <c r="G688" s="329"/>
      <c r="H688" s="329"/>
    </row>
    <row r="689">
      <c r="A689" s="327"/>
      <c r="B689" s="328"/>
      <c r="G689" s="329"/>
      <c r="H689" s="329"/>
    </row>
    <row r="690">
      <c r="A690" s="327"/>
      <c r="B690" s="328"/>
      <c r="G690" s="329"/>
      <c r="H690" s="329"/>
    </row>
    <row r="691">
      <c r="A691" s="327"/>
      <c r="B691" s="328"/>
      <c r="G691" s="329"/>
      <c r="H691" s="329"/>
    </row>
    <row r="692">
      <c r="A692" s="327"/>
      <c r="B692" s="328"/>
      <c r="G692" s="329"/>
      <c r="H692" s="329"/>
    </row>
    <row r="693">
      <c r="A693" s="327"/>
      <c r="B693" s="328"/>
      <c r="G693" s="329"/>
      <c r="H693" s="329"/>
    </row>
    <row r="694">
      <c r="A694" s="327"/>
      <c r="B694" s="328"/>
      <c r="G694" s="329"/>
      <c r="H694" s="329"/>
    </row>
    <row r="695">
      <c r="A695" s="327"/>
      <c r="B695" s="328"/>
      <c r="G695" s="329"/>
      <c r="H695" s="329"/>
    </row>
    <row r="696">
      <c r="A696" s="327"/>
      <c r="B696" s="328"/>
      <c r="G696" s="329"/>
      <c r="H696" s="329"/>
    </row>
    <row r="697">
      <c r="A697" s="327"/>
      <c r="B697" s="328"/>
      <c r="G697" s="329"/>
      <c r="H697" s="329"/>
    </row>
    <row r="698">
      <c r="A698" s="327"/>
      <c r="B698" s="328"/>
      <c r="G698" s="329"/>
      <c r="H698" s="329"/>
    </row>
    <row r="699">
      <c r="A699" s="327"/>
      <c r="B699" s="328"/>
      <c r="G699" s="329"/>
      <c r="H699" s="329"/>
    </row>
    <row r="700">
      <c r="A700" s="327"/>
      <c r="B700" s="328"/>
      <c r="G700" s="329"/>
      <c r="H700" s="329"/>
    </row>
    <row r="701">
      <c r="A701" s="327"/>
      <c r="B701" s="328"/>
      <c r="G701" s="329"/>
      <c r="H701" s="329"/>
    </row>
    <row r="702">
      <c r="A702" s="327"/>
      <c r="B702" s="328"/>
      <c r="G702" s="329"/>
      <c r="H702" s="329"/>
    </row>
    <row r="703">
      <c r="A703" s="327"/>
      <c r="B703" s="328"/>
      <c r="G703" s="329"/>
      <c r="H703" s="329"/>
    </row>
    <row r="704">
      <c r="A704" s="327"/>
      <c r="B704" s="328"/>
      <c r="G704" s="329"/>
      <c r="H704" s="329"/>
    </row>
    <row r="705">
      <c r="A705" s="327"/>
      <c r="B705" s="328"/>
      <c r="G705" s="329"/>
      <c r="H705" s="329"/>
    </row>
    <row r="706">
      <c r="A706" s="327"/>
      <c r="B706" s="328"/>
      <c r="G706" s="329"/>
      <c r="H706" s="329"/>
    </row>
    <row r="707">
      <c r="A707" s="327"/>
      <c r="B707" s="328"/>
      <c r="G707" s="329"/>
      <c r="H707" s="329"/>
    </row>
    <row r="708">
      <c r="A708" s="327"/>
      <c r="B708" s="328"/>
      <c r="G708" s="329"/>
      <c r="H708" s="329"/>
    </row>
    <row r="709">
      <c r="A709" s="327"/>
      <c r="B709" s="328"/>
      <c r="G709" s="329"/>
      <c r="H709" s="329"/>
    </row>
    <row r="710">
      <c r="A710" s="327"/>
      <c r="B710" s="328"/>
      <c r="G710" s="329"/>
      <c r="H710" s="329"/>
    </row>
    <row r="711">
      <c r="A711" s="327"/>
      <c r="B711" s="328"/>
      <c r="G711" s="329"/>
      <c r="H711" s="329"/>
    </row>
    <row r="712">
      <c r="A712" s="327"/>
      <c r="B712" s="328"/>
      <c r="G712" s="329"/>
      <c r="H712" s="329"/>
    </row>
    <row r="713">
      <c r="A713" s="327"/>
      <c r="B713" s="328"/>
      <c r="G713" s="329"/>
      <c r="H713" s="329"/>
    </row>
    <row r="714">
      <c r="A714" s="327"/>
      <c r="B714" s="328"/>
      <c r="G714" s="329"/>
      <c r="H714" s="329"/>
    </row>
    <row r="715">
      <c r="A715" s="327"/>
      <c r="B715" s="328"/>
      <c r="G715" s="329"/>
      <c r="H715" s="329"/>
    </row>
    <row r="716">
      <c r="A716" s="327"/>
      <c r="B716" s="328"/>
      <c r="G716" s="329"/>
      <c r="H716" s="329"/>
    </row>
    <row r="717">
      <c r="A717" s="327"/>
      <c r="B717" s="328"/>
      <c r="G717" s="329"/>
      <c r="H717" s="329"/>
    </row>
    <row r="718">
      <c r="A718" s="327"/>
      <c r="B718" s="328"/>
      <c r="G718" s="329"/>
      <c r="H718" s="329"/>
    </row>
    <row r="719">
      <c r="A719" s="327"/>
      <c r="B719" s="328"/>
      <c r="G719" s="329"/>
      <c r="H719" s="329"/>
    </row>
    <row r="720">
      <c r="A720" s="327"/>
      <c r="B720" s="328"/>
      <c r="G720" s="329"/>
      <c r="H720" s="329"/>
    </row>
    <row r="721">
      <c r="A721" s="327"/>
      <c r="B721" s="328"/>
      <c r="G721" s="329"/>
      <c r="H721" s="329"/>
    </row>
    <row r="722">
      <c r="A722" s="327"/>
      <c r="B722" s="328"/>
      <c r="G722" s="329"/>
      <c r="H722" s="329"/>
    </row>
    <row r="723">
      <c r="A723" s="327"/>
      <c r="B723" s="328"/>
      <c r="G723" s="329"/>
      <c r="H723" s="329"/>
    </row>
    <row r="724">
      <c r="A724" s="327"/>
      <c r="B724" s="328"/>
      <c r="G724" s="329"/>
      <c r="H724" s="329"/>
    </row>
    <row r="725">
      <c r="A725" s="327"/>
      <c r="B725" s="328"/>
      <c r="G725" s="329"/>
      <c r="H725" s="329"/>
    </row>
    <row r="726">
      <c r="A726" s="327"/>
      <c r="B726" s="328"/>
      <c r="G726" s="329"/>
      <c r="H726" s="329"/>
    </row>
    <row r="727">
      <c r="A727" s="327"/>
      <c r="B727" s="328"/>
      <c r="G727" s="329"/>
      <c r="H727" s="329"/>
    </row>
    <row r="728">
      <c r="A728" s="327"/>
      <c r="B728" s="328"/>
      <c r="G728" s="329"/>
      <c r="H728" s="329"/>
    </row>
    <row r="729">
      <c r="A729" s="327"/>
      <c r="B729" s="328"/>
      <c r="G729" s="329"/>
      <c r="H729" s="329"/>
    </row>
    <row r="730">
      <c r="A730" s="327"/>
      <c r="B730" s="328"/>
      <c r="G730" s="329"/>
      <c r="H730" s="329"/>
    </row>
    <row r="731">
      <c r="A731" s="327"/>
      <c r="B731" s="328"/>
      <c r="G731" s="329"/>
      <c r="H731" s="329"/>
    </row>
    <row r="732">
      <c r="A732" s="327"/>
      <c r="B732" s="328"/>
      <c r="G732" s="329"/>
      <c r="H732" s="329"/>
    </row>
    <row r="733">
      <c r="A733" s="327"/>
      <c r="B733" s="328"/>
      <c r="G733" s="329"/>
      <c r="H733" s="329"/>
    </row>
    <row r="734">
      <c r="A734" s="327"/>
      <c r="B734" s="328"/>
      <c r="G734" s="329"/>
      <c r="H734" s="329"/>
    </row>
    <row r="735">
      <c r="A735" s="327"/>
      <c r="B735" s="328"/>
      <c r="G735" s="329"/>
      <c r="H735" s="329"/>
    </row>
    <row r="736">
      <c r="A736" s="327"/>
      <c r="B736" s="328"/>
      <c r="G736" s="329"/>
      <c r="H736" s="329"/>
    </row>
    <row r="737">
      <c r="A737" s="327"/>
      <c r="B737" s="328"/>
      <c r="G737" s="329"/>
      <c r="H737" s="329"/>
    </row>
    <row r="738">
      <c r="A738" s="327"/>
      <c r="B738" s="328"/>
      <c r="G738" s="329"/>
      <c r="H738" s="329"/>
    </row>
    <row r="739">
      <c r="A739" s="327"/>
      <c r="B739" s="328"/>
      <c r="G739" s="329"/>
      <c r="H739" s="329"/>
    </row>
    <row r="740">
      <c r="A740" s="327"/>
      <c r="B740" s="328"/>
      <c r="G740" s="329"/>
      <c r="H740" s="329"/>
    </row>
    <row r="741">
      <c r="A741" s="327"/>
      <c r="B741" s="328"/>
      <c r="G741" s="329"/>
      <c r="H741" s="329"/>
    </row>
    <row r="742">
      <c r="A742" s="327"/>
      <c r="B742" s="328"/>
      <c r="G742" s="329"/>
      <c r="H742" s="329"/>
    </row>
    <row r="743">
      <c r="A743" s="327"/>
      <c r="B743" s="328"/>
      <c r="G743" s="329"/>
      <c r="H743" s="329"/>
    </row>
    <row r="744">
      <c r="A744" s="327"/>
      <c r="B744" s="328"/>
      <c r="G744" s="329"/>
      <c r="H744" s="329"/>
    </row>
    <row r="745">
      <c r="A745" s="327"/>
      <c r="B745" s="328"/>
      <c r="G745" s="329"/>
      <c r="H745" s="329"/>
    </row>
    <row r="746">
      <c r="A746" s="327"/>
      <c r="B746" s="328"/>
      <c r="G746" s="329"/>
      <c r="H746" s="329"/>
    </row>
    <row r="747">
      <c r="A747" s="327"/>
      <c r="B747" s="328"/>
      <c r="G747" s="329"/>
      <c r="H747" s="329"/>
    </row>
    <row r="748">
      <c r="A748" s="327"/>
      <c r="B748" s="328"/>
      <c r="G748" s="329"/>
      <c r="H748" s="329"/>
    </row>
    <row r="749">
      <c r="A749" s="327"/>
      <c r="B749" s="328"/>
      <c r="G749" s="329"/>
      <c r="H749" s="329"/>
    </row>
    <row r="750">
      <c r="A750" s="327"/>
      <c r="B750" s="328"/>
      <c r="G750" s="329"/>
      <c r="H750" s="329"/>
    </row>
    <row r="751">
      <c r="A751" s="327"/>
      <c r="B751" s="328"/>
      <c r="G751" s="329"/>
      <c r="H751" s="329"/>
    </row>
    <row r="752">
      <c r="A752" s="327"/>
      <c r="B752" s="328"/>
      <c r="G752" s="329"/>
      <c r="H752" s="329"/>
    </row>
    <row r="753">
      <c r="A753" s="327"/>
      <c r="B753" s="328"/>
      <c r="G753" s="329"/>
      <c r="H753" s="329"/>
    </row>
    <row r="754">
      <c r="A754" s="327"/>
      <c r="B754" s="328"/>
      <c r="G754" s="329"/>
      <c r="H754" s="329"/>
    </row>
    <row r="755">
      <c r="A755" s="327"/>
      <c r="B755" s="328"/>
      <c r="G755" s="329"/>
      <c r="H755" s="329"/>
    </row>
    <row r="756">
      <c r="A756" s="327"/>
      <c r="B756" s="328"/>
      <c r="G756" s="329"/>
      <c r="H756" s="329"/>
    </row>
    <row r="757">
      <c r="A757" s="327"/>
      <c r="B757" s="328"/>
      <c r="G757" s="329"/>
      <c r="H757" s="329"/>
    </row>
    <row r="758">
      <c r="A758" s="327"/>
      <c r="B758" s="328"/>
      <c r="G758" s="329"/>
      <c r="H758" s="329"/>
    </row>
    <row r="759">
      <c r="A759" s="327"/>
      <c r="B759" s="328"/>
      <c r="G759" s="329"/>
      <c r="H759" s="329"/>
    </row>
    <row r="760">
      <c r="A760" s="327"/>
      <c r="B760" s="328"/>
      <c r="G760" s="329"/>
      <c r="H760" s="329"/>
    </row>
    <row r="761">
      <c r="A761" s="327"/>
      <c r="B761" s="328"/>
      <c r="G761" s="329"/>
      <c r="H761" s="329"/>
    </row>
    <row r="762">
      <c r="A762" s="327"/>
      <c r="B762" s="328"/>
      <c r="G762" s="329"/>
      <c r="H762" s="329"/>
    </row>
    <row r="763">
      <c r="A763" s="327"/>
      <c r="B763" s="328"/>
      <c r="G763" s="329"/>
      <c r="H763" s="329"/>
    </row>
    <row r="764">
      <c r="A764" s="327"/>
      <c r="B764" s="328"/>
      <c r="G764" s="329"/>
      <c r="H764" s="329"/>
    </row>
    <row r="765">
      <c r="A765" s="327"/>
      <c r="B765" s="328"/>
      <c r="G765" s="329"/>
      <c r="H765" s="329"/>
    </row>
    <row r="766">
      <c r="A766" s="327"/>
      <c r="B766" s="328"/>
      <c r="G766" s="329"/>
      <c r="H766" s="329"/>
    </row>
    <row r="767">
      <c r="A767" s="327"/>
      <c r="B767" s="328"/>
      <c r="G767" s="329"/>
      <c r="H767" s="329"/>
    </row>
    <row r="768">
      <c r="A768" s="327"/>
      <c r="B768" s="328"/>
      <c r="G768" s="329"/>
      <c r="H768" s="329"/>
    </row>
    <row r="769">
      <c r="A769" s="327"/>
      <c r="B769" s="328"/>
      <c r="G769" s="329"/>
      <c r="H769" s="329"/>
    </row>
    <row r="770">
      <c r="A770" s="327"/>
      <c r="B770" s="328"/>
      <c r="G770" s="329"/>
      <c r="H770" s="329"/>
    </row>
    <row r="771">
      <c r="A771" s="327"/>
      <c r="B771" s="328"/>
      <c r="G771" s="329"/>
      <c r="H771" s="329"/>
    </row>
    <row r="772">
      <c r="A772" s="327"/>
      <c r="B772" s="328"/>
      <c r="G772" s="329"/>
      <c r="H772" s="329"/>
    </row>
    <row r="773">
      <c r="A773" s="327"/>
      <c r="B773" s="328"/>
      <c r="G773" s="329"/>
      <c r="H773" s="329"/>
    </row>
    <row r="774">
      <c r="A774" s="327"/>
      <c r="B774" s="328"/>
      <c r="G774" s="329"/>
      <c r="H774" s="329"/>
    </row>
    <row r="775">
      <c r="A775" s="327"/>
      <c r="B775" s="328"/>
      <c r="G775" s="329"/>
      <c r="H775" s="329"/>
    </row>
    <row r="776">
      <c r="A776" s="327"/>
      <c r="B776" s="328"/>
      <c r="G776" s="329"/>
      <c r="H776" s="329"/>
    </row>
    <row r="777">
      <c r="A777" s="327"/>
      <c r="B777" s="328"/>
      <c r="G777" s="329"/>
      <c r="H777" s="329"/>
    </row>
    <row r="778">
      <c r="A778" s="327"/>
      <c r="B778" s="328"/>
      <c r="G778" s="329"/>
      <c r="H778" s="329"/>
    </row>
    <row r="779">
      <c r="A779" s="327"/>
      <c r="B779" s="328"/>
      <c r="G779" s="329"/>
      <c r="H779" s="329"/>
    </row>
    <row r="780">
      <c r="A780" s="327"/>
      <c r="B780" s="328"/>
      <c r="G780" s="329"/>
      <c r="H780" s="329"/>
    </row>
    <row r="781">
      <c r="A781" s="327"/>
      <c r="B781" s="328"/>
      <c r="G781" s="329"/>
      <c r="H781" s="329"/>
    </row>
    <row r="782">
      <c r="A782" s="327"/>
      <c r="B782" s="328"/>
      <c r="G782" s="329"/>
      <c r="H782" s="329"/>
    </row>
    <row r="783">
      <c r="A783" s="327"/>
      <c r="B783" s="328"/>
      <c r="G783" s="329"/>
      <c r="H783" s="329"/>
    </row>
    <row r="784">
      <c r="A784" s="327"/>
      <c r="B784" s="328"/>
      <c r="G784" s="329"/>
      <c r="H784" s="329"/>
    </row>
    <row r="785">
      <c r="A785" s="327"/>
      <c r="B785" s="328"/>
      <c r="G785" s="329"/>
      <c r="H785" s="329"/>
    </row>
    <row r="786">
      <c r="A786" s="327"/>
      <c r="B786" s="328"/>
      <c r="G786" s="329"/>
      <c r="H786" s="329"/>
    </row>
    <row r="787">
      <c r="A787" s="327"/>
      <c r="B787" s="328"/>
      <c r="G787" s="329"/>
      <c r="H787" s="329"/>
    </row>
    <row r="788">
      <c r="A788" s="327"/>
      <c r="B788" s="328"/>
      <c r="G788" s="329"/>
      <c r="H788" s="329"/>
    </row>
    <row r="789">
      <c r="A789" s="327"/>
      <c r="B789" s="328"/>
      <c r="G789" s="329"/>
      <c r="H789" s="329"/>
    </row>
    <row r="790">
      <c r="A790" s="327"/>
      <c r="B790" s="328"/>
      <c r="G790" s="329"/>
      <c r="H790" s="329"/>
    </row>
    <row r="791">
      <c r="A791" s="327"/>
      <c r="B791" s="328"/>
      <c r="G791" s="329"/>
      <c r="H791" s="329"/>
    </row>
    <row r="792">
      <c r="A792" s="327"/>
      <c r="B792" s="328"/>
      <c r="G792" s="329"/>
      <c r="H792" s="329"/>
    </row>
    <row r="793">
      <c r="A793" s="327"/>
      <c r="B793" s="328"/>
      <c r="G793" s="329"/>
      <c r="H793" s="329"/>
    </row>
    <row r="794">
      <c r="A794" s="327"/>
      <c r="B794" s="328"/>
      <c r="G794" s="329"/>
      <c r="H794" s="329"/>
    </row>
    <row r="795">
      <c r="A795" s="327"/>
      <c r="B795" s="328"/>
      <c r="G795" s="329"/>
      <c r="H795" s="329"/>
    </row>
    <row r="796">
      <c r="A796" s="327"/>
      <c r="B796" s="328"/>
      <c r="G796" s="329"/>
      <c r="H796" s="329"/>
    </row>
    <row r="797">
      <c r="A797" s="327"/>
      <c r="B797" s="328"/>
      <c r="G797" s="329"/>
      <c r="H797" s="329"/>
    </row>
    <row r="798">
      <c r="A798" s="327"/>
      <c r="B798" s="328"/>
      <c r="G798" s="329"/>
      <c r="H798" s="329"/>
    </row>
    <row r="799">
      <c r="A799" s="327"/>
      <c r="B799" s="328"/>
      <c r="G799" s="329"/>
      <c r="H799" s="329"/>
    </row>
    <row r="800">
      <c r="A800" s="327"/>
      <c r="B800" s="328"/>
      <c r="G800" s="329"/>
      <c r="H800" s="329"/>
    </row>
    <row r="801">
      <c r="A801" s="327"/>
      <c r="B801" s="328"/>
      <c r="G801" s="329"/>
      <c r="H801" s="329"/>
    </row>
    <row r="802">
      <c r="A802" s="327"/>
      <c r="B802" s="328"/>
      <c r="G802" s="329"/>
      <c r="H802" s="329"/>
    </row>
    <row r="803">
      <c r="A803" s="327"/>
      <c r="B803" s="328"/>
      <c r="G803" s="329"/>
      <c r="H803" s="329"/>
    </row>
    <row r="804">
      <c r="A804" s="327"/>
      <c r="B804" s="328"/>
      <c r="G804" s="329"/>
      <c r="H804" s="329"/>
    </row>
    <row r="805">
      <c r="A805" s="327"/>
      <c r="B805" s="328"/>
      <c r="G805" s="329"/>
      <c r="H805" s="329"/>
    </row>
    <row r="806">
      <c r="A806" s="327"/>
      <c r="B806" s="328"/>
      <c r="G806" s="329"/>
      <c r="H806" s="329"/>
    </row>
    <row r="807">
      <c r="A807" s="327"/>
      <c r="B807" s="328"/>
      <c r="G807" s="329"/>
      <c r="H807" s="329"/>
    </row>
    <row r="808">
      <c r="A808" s="327"/>
      <c r="B808" s="328"/>
      <c r="G808" s="329"/>
      <c r="H808" s="329"/>
    </row>
    <row r="809">
      <c r="A809" s="327"/>
      <c r="B809" s="328"/>
      <c r="G809" s="329"/>
      <c r="H809" s="329"/>
    </row>
    <row r="810">
      <c r="A810" s="327"/>
      <c r="B810" s="328"/>
      <c r="G810" s="329"/>
      <c r="H810" s="329"/>
    </row>
    <row r="811">
      <c r="A811" s="327"/>
      <c r="B811" s="328"/>
      <c r="G811" s="329"/>
      <c r="H811" s="329"/>
    </row>
    <row r="812">
      <c r="A812" s="327"/>
      <c r="B812" s="328"/>
      <c r="G812" s="329"/>
      <c r="H812" s="329"/>
    </row>
    <row r="813">
      <c r="A813" s="327"/>
      <c r="B813" s="328"/>
      <c r="G813" s="329"/>
      <c r="H813" s="329"/>
    </row>
    <row r="814">
      <c r="A814" s="327"/>
      <c r="B814" s="328"/>
      <c r="G814" s="329"/>
      <c r="H814" s="329"/>
    </row>
    <row r="815">
      <c r="A815" s="327"/>
      <c r="B815" s="328"/>
      <c r="G815" s="329"/>
      <c r="H815" s="329"/>
    </row>
    <row r="816">
      <c r="A816" s="327"/>
      <c r="B816" s="328"/>
      <c r="G816" s="329"/>
      <c r="H816" s="329"/>
    </row>
    <row r="817">
      <c r="A817" s="327"/>
      <c r="B817" s="328"/>
      <c r="G817" s="329"/>
      <c r="H817" s="329"/>
    </row>
    <row r="818">
      <c r="A818" s="327"/>
      <c r="B818" s="328"/>
      <c r="G818" s="329"/>
      <c r="H818" s="329"/>
    </row>
    <row r="819">
      <c r="A819" s="327"/>
      <c r="B819" s="328"/>
      <c r="G819" s="329"/>
      <c r="H819" s="329"/>
    </row>
    <row r="820">
      <c r="A820" s="327"/>
      <c r="B820" s="328"/>
      <c r="G820" s="329"/>
      <c r="H820" s="329"/>
    </row>
    <row r="821">
      <c r="A821" s="327"/>
      <c r="B821" s="328"/>
      <c r="G821" s="329"/>
      <c r="H821" s="329"/>
    </row>
    <row r="822">
      <c r="A822" s="327"/>
      <c r="B822" s="328"/>
      <c r="G822" s="329"/>
      <c r="H822" s="329"/>
    </row>
    <row r="823">
      <c r="A823" s="327"/>
      <c r="B823" s="328"/>
      <c r="G823" s="329"/>
      <c r="H823" s="329"/>
    </row>
    <row r="824">
      <c r="A824" s="327"/>
      <c r="B824" s="328"/>
      <c r="G824" s="329"/>
      <c r="H824" s="329"/>
    </row>
    <row r="825">
      <c r="A825" s="327"/>
      <c r="B825" s="328"/>
      <c r="G825" s="329"/>
      <c r="H825" s="329"/>
    </row>
    <row r="826">
      <c r="A826" s="327"/>
      <c r="B826" s="328"/>
      <c r="G826" s="329"/>
      <c r="H826" s="329"/>
    </row>
    <row r="827">
      <c r="A827" s="327"/>
      <c r="B827" s="328"/>
      <c r="G827" s="329"/>
      <c r="H827" s="329"/>
    </row>
    <row r="828">
      <c r="A828" s="327"/>
      <c r="B828" s="328"/>
      <c r="G828" s="329"/>
      <c r="H828" s="329"/>
    </row>
    <row r="829">
      <c r="A829" s="327"/>
      <c r="B829" s="328"/>
      <c r="G829" s="329"/>
      <c r="H829" s="329"/>
    </row>
    <row r="830">
      <c r="A830" s="327"/>
      <c r="B830" s="328"/>
      <c r="G830" s="329"/>
      <c r="H830" s="329"/>
    </row>
    <row r="831">
      <c r="A831" s="327"/>
      <c r="B831" s="328"/>
      <c r="G831" s="329"/>
      <c r="H831" s="329"/>
    </row>
    <row r="832">
      <c r="A832" s="327"/>
      <c r="B832" s="328"/>
      <c r="G832" s="329"/>
      <c r="H832" s="329"/>
    </row>
    <row r="833">
      <c r="A833" s="327"/>
      <c r="B833" s="328"/>
      <c r="G833" s="329"/>
      <c r="H833" s="329"/>
    </row>
    <row r="834">
      <c r="A834" s="327"/>
      <c r="B834" s="328"/>
      <c r="G834" s="329"/>
      <c r="H834" s="329"/>
    </row>
    <row r="835">
      <c r="A835" s="327"/>
      <c r="B835" s="328"/>
      <c r="G835" s="329"/>
      <c r="H835" s="329"/>
    </row>
    <row r="836">
      <c r="A836" s="327"/>
      <c r="B836" s="328"/>
      <c r="G836" s="329"/>
      <c r="H836" s="329"/>
    </row>
    <row r="837">
      <c r="A837" s="327"/>
      <c r="B837" s="328"/>
      <c r="G837" s="329"/>
      <c r="H837" s="329"/>
    </row>
    <row r="838">
      <c r="A838" s="327"/>
      <c r="B838" s="328"/>
      <c r="G838" s="329"/>
      <c r="H838" s="329"/>
    </row>
    <row r="839">
      <c r="A839" s="327"/>
      <c r="B839" s="328"/>
      <c r="G839" s="329"/>
      <c r="H839" s="329"/>
    </row>
    <row r="840">
      <c r="A840" s="327"/>
      <c r="B840" s="328"/>
      <c r="G840" s="329"/>
      <c r="H840" s="329"/>
    </row>
    <row r="841">
      <c r="A841" s="327"/>
      <c r="B841" s="328"/>
      <c r="G841" s="329"/>
      <c r="H841" s="329"/>
    </row>
    <row r="842">
      <c r="A842" s="327"/>
      <c r="B842" s="328"/>
      <c r="G842" s="329"/>
      <c r="H842" s="329"/>
    </row>
    <row r="843">
      <c r="A843" s="327"/>
      <c r="B843" s="328"/>
      <c r="G843" s="329"/>
      <c r="H843" s="329"/>
    </row>
    <row r="844">
      <c r="A844" s="327"/>
      <c r="B844" s="328"/>
      <c r="G844" s="329"/>
      <c r="H844" s="329"/>
    </row>
    <row r="845">
      <c r="A845" s="327"/>
      <c r="B845" s="328"/>
      <c r="G845" s="329"/>
      <c r="H845" s="329"/>
    </row>
    <row r="846">
      <c r="A846" s="327"/>
      <c r="B846" s="328"/>
      <c r="G846" s="329"/>
      <c r="H846" s="329"/>
    </row>
    <row r="847">
      <c r="A847" s="327"/>
      <c r="B847" s="328"/>
      <c r="G847" s="329"/>
      <c r="H847" s="329"/>
    </row>
    <row r="848">
      <c r="A848" s="327"/>
      <c r="B848" s="328"/>
      <c r="G848" s="329"/>
      <c r="H848" s="329"/>
    </row>
    <row r="849">
      <c r="A849" s="327"/>
      <c r="B849" s="328"/>
      <c r="G849" s="329"/>
      <c r="H849" s="329"/>
    </row>
    <row r="850">
      <c r="A850" s="327"/>
      <c r="B850" s="328"/>
      <c r="G850" s="329"/>
      <c r="H850" s="329"/>
    </row>
    <row r="851">
      <c r="A851" s="327"/>
      <c r="B851" s="328"/>
      <c r="G851" s="329"/>
      <c r="H851" s="329"/>
    </row>
    <row r="852">
      <c r="A852" s="327"/>
      <c r="B852" s="328"/>
      <c r="G852" s="329"/>
      <c r="H852" s="329"/>
    </row>
    <row r="853">
      <c r="A853" s="327"/>
      <c r="B853" s="328"/>
      <c r="G853" s="329"/>
      <c r="H853" s="329"/>
    </row>
    <row r="854">
      <c r="A854" s="327"/>
      <c r="B854" s="328"/>
      <c r="G854" s="329"/>
      <c r="H854" s="329"/>
    </row>
    <row r="855">
      <c r="A855" s="327"/>
      <c r="B855" s="328"/>
      <c r="G855" s="329"/>
      <c r="H855" s="329"/>
    </row>
    <row r="856">
      <c r="A856" s="327"/>
      <c r="B856" s="328"/>
      <c r="G856" s="329"/>
      <c r="H856" s="329"/>
    </row>
    <row r="857">
      <c r="A857" s="327"/>
      <c r="B857" s="328"/>
      <c r="G857" s="329"/>
      <c r="H857" s="329"/>
    </row>
    <row r="858">
      <c r="A858" s="327"/>
      <c r="B858" s="328"/>
      <c r="G858" s="329"/>
      <c r="H858" s="329"/>
    </row>
    <row r="859">
      <c r="A859" s="327"/>
      <c r="B859" s="328"/>
      <c r="G859" s="329"/>
      <c r="H859" s="329"/>
    </row>
    <row r="860">
      <c r="A860" s="327"/>
      <c r="B860" s="328"/>
      <c r="G860" s="329"/>
      <c r="H860" s="329"/>
    </row>
    <row r="861">
      <c r="A861" s="327"/>
      <c r="B861" s="328"/>
      <c r="G861" s="329"/>
      <c r="H861" s="329"/>
    </row>
    <row r="862">
      <c r="A862" s="327"/>
      <c r="B862" s="328"/>
      <c r="G862" s="329"/>
      <c r="H862" s="329"/>
    </row>
    <row r="863">
      <c r="A863" s="327"/>
      <c r="B863" s="328"/>
      <c r="G863" s="329"/>
      <c r="H863" s="329"/>
    </row>
    <row r="864">
      <c r="A864" s="327"/>
      <c r="B864" s="328"/>
      <c r="G864" s="329"/>
      <c r="H864" s="329"/>
    </row>
    <row r="865">
      <c r="A865" s="327"/>
      <c r="B865" s="328"/>
      <c r="G865" s="329"/>
      <c r="H865" s="329"/>
    </row>
    <row r="866">
      <c r="A866" s="327"/>
      <c r="B866" s="328"/>
      <c r="G866" s="329"/>
      <c r="H866" s="329"/>
    </row>
    <row r="867">
      <c r="A867" s="327"/>
      <c r="B867" s="328"/>
      <c r="G867" s="329"/>
      <c r="H867" s="329"/>
    </row>
    <row r="868">
      <c r="A868" s="327"/>
      <c r="B868" s="328"/>
      <c r="G868" s="329"/>
      <c r="H868" s="329"/>
    </row>
    <row r="869">
      <c r="A869" s="327"/>
      <c r="B869" s="328"/>
      <c r="G869" s="329"/>
      <c r="H869" s="329"/>
    </row>
    <row r="870">
      <c r="A870" s="327"/>
      <c r="B870" s="328"/>
      <c r="G870" s="329"/>
      <c r="H870" s="329"/>
    </row>
    <row r="871">
      <c r="A871" s="327"/>
      <c r="B871" s="328"/>
      <c r="G871" s="329"/>
      <c r="H871" s="329"/>
    </row>
    <row r="872">
      <c r="A872" s="327"/>
      <c r="B872" s="328"/>
      <c r="G872" s="329"/>
      <c r="H872" s="329"/>
    </row>
    <row r="873">
      <c r="A873" s="327"/>
      <c r="B873" s="328"/>
      <c r="G873" s="329"/>
      <c r="H873" s="329"/>
    </row>
    <row r="874">
      <c r="A874" s="327"/>
      <c r="B874" s="328"/>
      <c r="G874" s="329"/>
      <c r="H874" s="329"/>
    </row>
    <row r="875">
      <c r="A875" s="327"/>
      <c r="B875" s="328"/>
      <c r="G875" s="329"/>
      <c r="H875" s="329"/>
    </row>
    <row r="876">
      <c r="A876" s="327"/>
      <c r="B876" s="328"/>
      <c r="G876" s="329"/>
      <c r="H876" s="329"/>
    </row>
    <row r="877">
      <c r="A877" s="327"/>
      <c r="B877" s="328"/>
      <c r="G877" s="329"/>
      <c r="H877" s="329"/>
    </row>
    <row r="878">
      <c r="A878" s="327"/>
      <c r="B878" s="328"/>
      <c r="G878" s="329"/>
      <c r="H878" s="329"/>
    </row>
    <row r="879">
      <c r="A879" s="327"/>
      <c r="B879" s="328"/>
      <c r="G879" s="329"/>
      <c r="H879" s="329"/>
    </row>
    <row r="880">
      <c r="A880" s="327"/>
      <c r="B880" s="328"/>
      <c r="G880" s="329"/>
      <c r="H880" s="329"/>
    </row>
    <row r="881">
      <c r="A881" s="327"/>
      <c r="B881" s="328"/>
      <c r="G881" s="329"/>
      <c r="H881" s="329"/>
    </row>
    <row r="882">
      <c r="A882" s="327"/>
      <c r="B882" s="328"/>
      <c r="G882" s="329"/>
      <c r="H882" s="329"/>
    </row>
    <row r="883">
      <c r="A883" s="327"/>
      <c r="B883" s="328"/>
      <c r="G883" s="329"/>
      <c r="H883" s="329"/>
    </row>
    <row r="884">
      <c r="A884" s="327"/>
      <c r="B884" s="328"/>
      <c r="G884" s="329"/>
      <c r="H884" s="329"/>
    </row>
    <row r="885">
      <c r="A885" s="327"/>
      <c r="B885" s="328"/>
      <c r="G885" s="329"/>
      <c r="H885" s="329"/>
    </row>
    <row r="886">
      <c r="A886" s="327"/>
      <c r="B886" s="328"/>
      <c r="G886" s="329"/>
      <c r="H886" s="329"/>
    </row>
    <row r="887">
      <c r="A887" s="327"/>
      <c r="B887" s="328"/>
      <c r="G887" s="329"/>
      <c r="H887" s="329"/>
    </row>
    <row r="888">
      <c r="A888" s="327"/>
      <c r="B888" s="328"/>
      <c r="G888" s="329"/>
      <c r="H888" s="329"/>
    </row>
    <row r="889">
      <c r="A889" s="327"/>
      <c r="B889" s="328"/>
      <c r="G889" s="329"/>
      <c r="H889" s="329"/>
    </row>
    <row r="890">
      <c r="A890" s="327"/>
      <c r="B890" s="328"/>
      <c r="G890" s="329"/>
      <c r="H890" s="329"/>
    </row>
    <row r="891">
      <c r="A891" s="327"/>
      <c r="B891" s="328"/>
      <c r="G891" s="329"/>
      <c r="H891" s="329"/>
    </row>
    <row r="892">
      <c r="A892" s="327"/>
      <c r="B892" s="328"/>
      <c r="G892" s="329"/>
      <c r="H892" s="329"/>
    </row>
    <row r="893">
      <c r="A893" s="327"/>
      <c r="B893" s="328"/>
      <c r="G893" s="329"/>
      <c r="H893" s="329"/>
    </row>
    <row r="894">
      <c r="A894" s="327"/>
      <c r="B894" s="328"/>
      <c r="G894" s="329"/>
      <c r="H894" s="329"/>
    </row>
    <row r="895">
      <c r="A895" s="327"/>
      <c r="B895" s="328"/>
      <c r="G895" s="329"/>
      <c r="H895" s="329"/>
    </row>
    <row r="896">
      <c r="A896" s="327"/>
      <c r="B896" s="328"/>
      <c r="G896" s="329"/>
      <c r="H896" s="329"/>
    </row>
    <row r="897">
      <c r="A897" s="327"/>
      <c r="B897" s="328"/>
      <c r="G897" s="329"/>
      <c r="H897" s="329"/>
    </row>
    <row r="898">
      <c r="A898" s="327"/>
      <c r="B898" s="328"/>
      <c r="G898" s="329"/>
      <c r="H898" s="329"/>
    </row>
    <row r="899">
      <c r="A899" s="327"/>
      <c r="B899" s="328"/>
      <c r="G899" s="329"/>
      <c r="H899" s="329"/>
    </row>
    <row r="900">
      <c r="A900" s="327"/>
      <c r="B900" s="328"/>
      <c r="G900" s="329"/>
      <c r="H900" s="329"/>
    </row>
    <row r="901">
      <c r="A901" s="327"/>
      <c r="B901" s="328"/>
      <c r="G901" s="329"/>
      <c r="H901" s="329"/>
    </row>
    <row r="902">
      <c r="A902" s="327"/>
      <c r="B902" s="328"/>
      <c r="G902" s="329"/>
      <c r="H902" s="329"/>
    </row>
    <row r="903">
      <c r="A903" s="327"/>
      <c r="B903" s="328"/>
      <c r="G903" s="329"/>
      <c r="H903" s="329"/>
    </row>
    <row r="904">
      <c r="A904" s="327"/>
      <c r="B904" s="328"/>
      <c r="G904" s="329"/>
      <c r="H904" s="329"/>
    </row>
    <row r="905">
      <c r="A905" s="327"/>
      <c r="B905" s="328"/>
      <c r="G905" s="329"/>
      <c r="H905" s="329"/>
    </row>
    <row r="906">
      <c r="A906" s="327"/>
      <c r="B906" s="328"/>
      <c r="G906" s="329"/>
      <c r="H906" s="329"/>
    </row>
    <row r="907">
      <c r="A907" s="327"/>
      <c r="B907" s="328"/>
      <c r="G907" s="329"/>
      <c r="H907" s="329"/>
    </row>
    <row r="908">
      <c r="A908" s="327"/>
      <c r="B908" s="328"/>
      <c r="G908" s="329"/>
      <c r="H908" s="329"/>
    </row>
    <row r="909">
      <c r="A909" s="327"/>
      <c r="B909" s="328"/>
      <c r="G909" s="329"/>
      <c r="H909" s="329"/>
    </row>
    <row r="910">
      <c r="A910" s="327"/>
      <c r="B910" s="328"/>
      <c r="G910" s="329"/>
      <c r="H910" s="329"/>
    </row>
    <row r="911">
      <c r="A911" s="327"/>
      <c r="B911" s="328"/>
      <c r="G911" s="329"/>
      <c r="H911" s="329"/>
    </row>
    <row r="912">
      <c r="A912" s="327"/>
      <c r="B912" s="328"/>
      <c r="G912" s="329"/>
      <c r="H912" s="329"/>
    </row>
    <row r="913">
      <c r="A913" s="327"/>
      <c r="B913" s="328"/>
      <c r="G913" s="329"/>
      <c r="H913" s="329"/>
    </row>
    <row r="914">
      <c r="A914" s="327"/>
      <c r="B914" s="328"/>
      <c r="G914" s="329"/>
      <c r="H914" s="329"/>
    </row>
    <row r="915">
      <c r="A915" s="327"/>
      <c r="B915" s="328"/>
      <c r="G915" s="329"/>
      <c r="H915" s="329"/>
    </row>
    <row r="916">
      <c r="A916" s="327"/>
      <c r="B916" s="328"/>
      <c r="G916" s="329"/>
      <c r="H916" s="329"/>
    </row>
    <row r="917">
      <c r="A917" s="327"/>
      <c r="B917" s="328"/>
      <c r="G917" s="329"/>
      <c r="H917" s="329"/>
    </row>
    <row r="918">
      <c r="A918" s="327"/>
      <c r="B918" s="328"/>
      <c r="G918" s="329"/>
      <c r="H918" s="329"/>
    </row>
    <row r="919">
      <c r="A919" s="327"/>
      <c r="B919" s="328"/>
      <c r="G919" s="329"/>
      <c r="H919" s="329"/>
    </row>
    <row r="920">
      <c r="A920" s="327"/>
      <c r="B920" s="328"/>
      <c r="G920" s="329"/>
      <c r="H920" s="329"/>
    </row>
    <row r="921">
      <c r="A921" s="327"/>
      <c r="B921" s="328"/>
      <c r="G921" s="329"/>
      <c r="H921" s="329"/>
    </row>
    <row r="922">
      <c r="A922" s="327"/>
      <c r="B922" s="328"/>
      <c r="G922" s="329"/>
      <c r="H922" s="329"/>
    </row>
    <row r="923">
      <c r="A923" s="327"/>
      <c r="B923" s="328"/>
      <c r="G923" s="329"/>
      <c r="H923" s="329"/>
    </row>
    <row r="924">
      <c r="A924" s="327"/>
      <c r="B924" s="328"/>
      <c r="G924" s="329"/>
      <c r="H924" s="329"/>
    </row>
    <row r="925">
      <c r="A925" s="327"/>
      <c r="B925" s="328"/>
      <c r="G925" s="329"/>
      <c r="H925" s="329"/>
    </row>
    <row r="926">
      <c r="A926" s="327"/>
      <c r="B926" s="328"/>
      <c r="G926" s="329"/>
      <c r="H926" s="329"/>
    </row>
    <row r="927">
      <c r="A927" s="327"/>
      <c r="B927" s="328"/>
      <c r="G927" s="329"/>
      <c r="H927" s="329"/>
    </row>
    <row r="928">
      <c r="A928" s="327"/>
      <c r="B928" s="328"/>
      <c r="G928" s="329"/>
      <c r="H928" s="329"/>
    </row>
    <row r="929">
      <c r="A929" s="327"/>
      <c r="B929" s="328"/>
      <c r="G929" s="329"/>
      <c r="H929" s="329"/>
    </row>
    <row r="930">
      <c r="A930" s="327"/>
      <c r="B930" s="328"/>
      <c r="G930" s="329"/>
      <c r="H930" s="329"/>
    </row>
    <row r="931">
      <c r="A931" s="327"/>
      <c r="B931" s="328"/>
      <c r="G931" s="329"/>
      <c r="H931" s="329"/>
    </row>
    <row r="932">
      <c r="A932" s="327"/>
      <c r="B932" s="328"/>
      <c r="G932" s="329"/>
      <c r="H932" s="329"/>
    </row>
    <row r="933">
      <c r="A933" s="327"/>
      <c r="B933" s="328"/>
      <c r="G933" s="329"/>
      <c r="H933" s="329"/>
    </row>
    <row r="934">
      <c r="A934" s="327"/>
      <c r="B934" s="328"/>
      <c r="G934" s="329"/>
      <c r="H934" s="329"/>
    </row>
    <row r="935">
      <c r="A935" s="327"/>
      <c r="B935" s="328"/>
      <c r="G935" s="329"/>
      <c r="H935" s="329"/>
    </row>
    <row r="936">
      <c r="A936" s="327"/>
      <c r="B936" s="328"/>
      <c r="G936" s="329"/>
      <c r="H936" s="329"/>
    </row>
    <row r="937">
      <c r="A937" s="327"/>
      <c r="B937" s="328"/>
      <c r="G937" s="329"/>
      <c r="H937" s="329"/>
    </row>
    <row r="938">
      <c r="A938" s="327"/>
      <c r="B938" s="328"/>
      <c r="G938" s="329"/>
      <c r="H938" s="329"/>
    </row>
    <row r="939">
      <c r="A939" s="327"/>
      <c r="B939" s="328"/>
      <c r="G939" s="329"/>
      <c r="H939" s="329"/>
    </row>
    <row r="940">
      <c r="A940" s="327"/>
      <c r="B940" s="328"/>
      <c r="G940" s="329"/>
      <c r="H940" s="329"/>
    </row>
    <row r="941">
      <c r="A941" s="327"/>
      <c r="B941" s="328"/>
      <c r="G941" s="329"/>
      <c r="H941" s="329"/>
    </row>
    <row r="942">
      <c r="A942" s="327"/>
      <c r="B942" s="328"/>
      <c r="G942" s="329"/>
      <c r="H942" s="329"/>
    </row>
    <row r="943">
      <c r="A943" s="327"/>
      <c r="B943" s="328"/>
      <c r="G943" s="329"/>
      <c r="H943" s="329"/>
    </row>
    <row r="944">
      <c r="A944" s="327"/>
      <c r="B944" s="328"/>
      <c r="G944" s="329"/>
      <c r="H944" s="329"/>
    </row>
    <row r="945">
      <c r="A945" s="327"/>
      <c r="B945" s="328"/>
      <c r="G945" s="329"/>
      <c r="H945" s="329"/>
    </row>
    <row r="946">
      <c r="A946" s="327"/>
      <c r="B946" s="328"/>
      <c r="G946" s="329"/>
      <c r="H946" s="329"/>
    </row>
    <row r="947">
      <c r="A947" s="327"/>
      <c r="B947" s="328"/>
      <c r="G947" s="329"/>
      <c r="H947" s="329"/>
    </row>
    <row r="948">
      <c r="A948" s="327"/>
      <c r="B948" s="328"/>
      <c r="G948" s="329"/>
      <c r="H948" s="329"/>
    </row>
    <row r="949">
      <c r="A949" s="327"/>
      <c r="B949" s="328"/>
      <c r="G949" s="329"/>
      <c r="H949" s="329"/>
    </row>
    <row r="950">
      <c r="A950" s="327"/>
      <c r="B950" s="328"/>
      <c r="G950" s="329"/>
      <c r="H950" s="329"/>
    </row>
    <row r="951">
      <c r="A951" s="327"/>
      <c r="B951" s="328"/>
      <c r="G951" s="329"/>
      <c r="H951" s="329"/>
    </row>
    <row r="952">
      <c r="A952" s="327"/>
      <c r="B952" s="328"/>
      <c r="G952" s="329"/>
      <c r="H952" s="329"/>
    </row>
    <row r="953">
      <c r="A953" s="327"/>
      <c r="B953" s="328"/>
      <c r="G953" s="329"/>
      <c r="H953" s="329"/>
    </row>
    <row r="954">
      <c r="A954" s="327"/>
      <c r="B954" s="328"/>
      <c r="G954" s="329"/>
      <c r="H954" s="329"/>
    </row>
    <row r="955">
      <c r="A955" s="327"/>
      <c r="B955" s="328"/>
      <c r="G955" s="329"/>
      <c r="H955" s="329"/>
    </row>
    <row r="956">
      <c r="A956" s="327"/>
      <c r="B956" s="328"/>
      <c r="G956" s="329"/>
      <c r="H956" s="329"/>
    </row>
    <row r="957">
      <c r="A957" s="327"/>
      <c r="B957" s="328"/>
      <c r="G957" s="329"/>
      <c r="H957" s="329"/>
    </row>
    <row r="958">
      <c r="A958" s="327"/>
      <c r="B958" s="328"/>
      <c r="G958" s="329"/>
      <c r="H958" s="329"/>
    </row>
    <row r="959">
      <c r="A959" s="327"/>
      <c r="B959" s="328"/>
      <c r="G959" s="329"/>
      <c r="H959" s="329"/>
    </row>
    <row r="960">
      <c r="A960" s="327"/>
      <c r="B960" s="328"/>
      <c r="G960" s="329"/>
      <c r="H960" s="329"/>
    </row>
    <row r="961">
      <c r="A961" s="327"/>
      <c r="B961" s="328"/>
      <c r="G961" s="329"/>
      <c r="H961" s="329"/>
    </row>
    <row r="962">
      <c r="A962" s="327"/>
      <c r="B962" s="328"/>
      <c r="G962" s="329"/>
      <c r="H962" s="329"/>
    </row>
    <row r="963">
      <c r="A963" s="327"/>
      <c r="B963" s="328"/>
      <c r="G963" s="329"/>
      <c r="H963" s="329"/>
    </row>
    <row r="964">
      <c r="A964" s="327"/>
      <c r="B964" s="328"/>
      <c r="G964" s="329"/>
      <c r="H964" s="329"/>
    </row>
    <row r="965">
      <c r="A965" s="327"/>
      <c r="B965" s="328"/>
      <c r="G965" s="329"/>
      <c r="H965" s="329"/>
    </row>
    <row r="966">
      <c r="A966" s="327"/>
      <c r="B966" s="328"/>
      <c r="G966" s="329"/>
      <c r="H966" s="329"/>
    </row>
    <row r="967">
      <c r="A967" s="327"/>
      <c r="B967" s="328"/>
      <c r="G967" s="329"/>
      <c r="H967" s="329"/>
    </row>
    <row r="968">
      <c r="A968" s="327"/>
      <c r="B968" s="328"/>
      <c r="G968" s="329"/>
      <c r="H968" s="329"/>
    </row>
    <row r="969">
      <c r="A969" s="327"/>
      <c r="B969" s="328"/>
      <c r="G969" s="329"/>
      <c r="H969" s="329"/>
    </row>
    <row r="970">
      <c r="A970" s="327"/>
      <c r="B970" s="328"/>
      <c r="G970" s="329"/>
      <c r="H970" s="329"/>
    </row>
    <row r="971">
      <c r="A971" s="327"/>
      <c r="B971" s="328"/>
      <c r="G971" s="329"/>
      <c r="H971" s="329"/>
    </row>
    <row r="972">
      <c r="A972" s="327"/>
      <c r="B972" s="328"/>
      <c r="G972" s="329"/>
      <c r="H972" s="329"/>
    </row>
    <row r="973">
      <c r="A973" s="327"/>
      <c r="B973" s="328"/>
      <c r="G973" s="329"/>
      <c r="H973" s="329"/>
    </row>
    <row r="974">
      <c r="A974" s="327"/>
      <c r="B974" s="328"/>
      <c r="G974" s="329"/>
      <c r="H974" s="329"/>
    </row>
    <row r="975">
      <c r="A975" s="327"/>
      <c r="B975" s="328"/>
      <c r="G975" s="329"/>
      <c r="H975" s="329"/>
    </row>
    <row r="976">
      <c r="A976" s="327"/>
      <c r="B976" s="328"/>
      <c r="G976" s="329"/>
      <c r="H976" s="329"/>
    </row>
    <row r="977">
      <c r="A977" s="327"/>
      <c r="B977" s="328"/>
      <c r="G977" s="329"/>
      <c r="H977" s="329"/>
    </row>
    <row r="978">
      <c r="A978" s="327"/>
      <c r="B978" s="328"/>
      <c r="G978" s="329"/>
      <c r="H978" s="329"/>
    </row>
    <row r="979">
      <c r="A979" s="327"/>
      <c r="B979" s="328"/>
      <c r="G979" s="329"/>
      <c r="H979" s="329"/>
    </row>
    <row r="980">
      <c r="A980" s="327"/>
      <c r="B980" s="328"/>
      <c r="G980" s="329"/>
      <c r="H980" s="329"/>
    </row>
    <row r="981">
      <c r="A981" s="327"/>
      <c r="B981" s="328"/>
      <c r="G981" s="329"/>
      <c r="H981" s="329"/>
    </row>
    <row r="982">
      <c r="A982" s="327"/>
      <c r="B982" s="328"/>
      <c r="G982" s="329"/>
      <c r="H982" s="329"/>
    </row>
    <row r="983">
      <c r="A983" s="327"/>
      <c r="B983" s="328"/>
      <c r="G983" s="329"/>
      <c r="H983" s="329"/>
    </row>
    <row r="984">
      <c r="A984" s="327"/>
      <c r="B984" s="328"/>
      <c r="G984" s="329"/>
      <c r="H984" s="329"/>
    </row>
    <row r="985">
      <c r="A985" s="327"/>
      <c r="B985" s="328"/>
      <c r="G985" s="329"/>
      <c r="H985" s="329"/>
    </row>
    <row r="986">
      <c r="A986" s="327"/>
      <c r="B986" s="328"/>
      <c r="G986" s="329"/>
      <c r="H986" s="329"/>
    </row>
    <row r="987">
      <c r="A987" s="327"/>
      <c r="B987" s="328"/>
      <c r="G987" s="329"/>
      <c r="H987" s="329"/>
    </row>
    <row r="988">
      <c r="A988" s="327"/>
      <c r="B988" s="328"/>
      <c r="G988" s="329"/>
      <c r="H988" s="329"/>
    </row>
    <row r="989">
      <c r="A989" s="327"/>
      <c r="B989" s="328"/>
      <c r="G989" s="329"/>
      <c r="H989" s="329"/>
    </row>
    <row r="990">
      <c r="A990" s="327"/>
      <c r="B990" s="328"/>
      <c r="G990" s="329"/>
      <c r="H990" s="329"/>
    </row>
    <row r="991">
      <c r="A991" s="327"/>
      <c r="B991" s="328"/>
      <c r="G991" s="329"/>
      <c r="H991" s="329"/>
    </row>
    <row r="992">
      <c r="A992" s="327"/>
      <c r="B992" s="328"/>
      <c r="G992" s="329"/>
      <c r="H992" s="329"/>
    </row>
    <row r="993">
      <c r="A993" s="327"/>
      <c r="B993" s="328"/>
      <c r="G993" s="329"/>
      <c r="H993" s="329"/>
    </row>
    <row r="994">
      <c r="A994" s="327"/>
      <c r="B994" s="328"/>
      <c r="G994" s="329"/>
      <c r="H994" s="329"/>
    </row>
    <row r="995">
      <c r="A995" s="327"/>
      <c r="B995" s="328"/>
      <c r="G995" s="329"/>
      <c r="H995" s="329"/>
    </row>
    <row r="996">
      <c r="A996" s="327"/>
      <c r="B996" s="328"/>
      <c r="G996" s="329"/>
      <c r="H996" s="329"/>
    </row>
    <row r="997">
      <c r="A997" s="327"/>
      <c r="B997" s="328"/>
      <c r="G997" s="329"/>
      <c r="H997" s="329"/>
    </row>
    <row r="998">
      <c r="A998" s="327"/>
      <c r="B998" s="328"/>
      <c r="G998" s="329"/>
      <c r="H998" s="329"/>
    </row>
    <row r="999">
      <c r="A999" s="327"/>
      <c r="B999" s="328"/>
      <c r="G999" s="329"/>
      <c r="H999" s="329"/>
    </row>
    <row r="1000">
      <c r="A1000" s="327"/>
      <c r="B1000" s="328"/>
      <c r="G1000" s="329"/>
      <c r="H1000" s="329"/>
    </row>
    <row r="1001">
      <c r="A1001" s="327"/>
      <c r="B1001" s="328"/>
      <c r="G1001" s="329"/>
      <c r="H1001" s="329"/>
    </row>
    <row r="1002">
      <c r="A1002" s="327"/>
      <c r="B1002" s="328"/>
      <c r="G1002" s="329"/>
      <c r="H1002" s="329"/>
    </row>
    <row r="1003">
      <c r="A1003" s="327"/>
      <c r="B1003" s="328"/>
      <c r="G1003" s="329"/>
      <c r="H1003" s="329"/>
    </row>
    <row r="1004">
      <c r="A1004" s="327"/>
      <c r="B1004" s="328"/>
      <c r="G1004" s="329"/>
      <c r="H1004" s="329"/>
    </row>
    <row r="1005">
      <c r="A1005" s="327"/>
      <c r="B1005" s="328"/>
      <c r="G1005" s="329"/>
      <c r="H1005" s="329"/>
    </row>
    <row r="1006">
      <c r="A1006" s="327"/>
      <c r="B1006" s="328"/>
      <c r="G1006" s="329"/>
      <c r="H1006" s="329"/>
    </row>
    <row r="1007">
      <c r="A1007" s="327"/>
      <c r="B1007" s="328"/>
      <c r="G1007" s="329"/>
      <c r="H1007" s="329"/>
    </row>
    <row r="1008">
      <c r="A1008" s="327"/>
      <c r="B1008" s="328"/>
      <c r="G1008" s="329"/>
      <c r="H1008" s="329"/>
    </row>
    <row r="1009">
      <c r="A1009" s="327"/>
      <c r="B1009" s="328"/>
      <c r="G1009" s="329"/>
      <c r="H1009" s="329"/>
    </row>
    <row r="1010">
      <c r="A1010" s="327"/>
      <c r="B1010" s="328"/>
      <c r="G1010" s="329"/>
      <c r="H1010" s="329"/>
    </row>
    <row r="1011">
      <c r="A1011" s="327"/>
      <c r="B1011" s="328"/>
      <c r="G1011" s="329"/>
      <c r="H1011" s="329"/>
    </row>
    <row r="1012">
      <c r="A1012" s="327"/>
      <c r="B1012" s="328"/>
      <c r="G1012" s="329"/>
      <c r="H1012" s="329"/>
    </row>
    <row r="1013">
      <c r="A1013" s="327"/>
      <c r="B1013" s="328"/>
      <c r="G1013" s="329"/>
      <c r="H1013" s="329"/>
    </row>
    <row r="1014">
      <c r="A1014" s="327"/>
      <c r="B1014" s="328"/>
      <c r="G1014" s="329"/>
      <c r="H1014" s="329"/>
    </row>
    <row r="1015">
      <c r="A1015" s="327"/>
      <c r="B1015" s="328"/>
      <c r="G1015" s="329"/>
      <c r="H1015" s="329"/>
    </row>
    <row r="1016">
      <c r="A1016" s="327"/>
      <c r="B1016" s="328"/>
      <c r="G1016" s="329"/>
      <c r="H1016" s="329"/>
    </row>
    <row r="1017">
      <c r="A1017" s="327"/>
      <c r="B1017" s="328"/>
      <c r="G1017" s="329"/>
      <c r="H1017" s="329"/>
    </row>
    <row r="1018">
      <c r="A1018" s="327"/>
      <c r="B1018" s="328"/>
      <c r="G1018" s="329"/>
      <c r="H1018" s="329"/>
    </row>
    <row r="1019">
      <c r="A1019" s="327"/>
      <c r="B1019" s="328"/>
      <c r="G1019" s="329"/>
      <c r="H1019" s="329"/>
    </row>
    <row r="1020">
      <c r="A1020" s="327"/>
      <c r="B1020" s="328"/>
      <c r="G1020" s="329"/>
      <c r="H1020" s="329"/>
    </row>
    <row r="1021">
      <c r="A1021" s="327"/>
      <c r="B1021" s="328"/>
      <c r="G1021" s="329"/>
      <c r="H1021" s="329"/>
    </row>
    <row r="1022">
      <c r="A1022" s="327"/>
      <c r="B1022" s="328"/>
      <c r="G1022" s="329"/>
      <c r="H1022" s="329"/>
    </row>
    <row r="1023">
      <c r="A1023" s="327"/>
      <c r="B1023" s="328"/>
      <c r="G1023" s="329"/>
      <c r="H1023" s="329"/>
    </row>
    <row r="1024">
      <c r="A1024" s="327"/>
      <c r="B1024" s="328"/>
      <c r="G1024" s="329"/>
      <c r="H1024" s="329"/>
    </row>
    <row r="1025">
      <c r="A1025" s="327"/>
      <c r="B1025" s="328"/>
      <c r="G1025" s="329"/>
      <c r="H1025" s="329"/>
    </row>
    <row r="1026">
      <c r="A1026" s="327"/>
      <c r="B1026" s="328"/>
      <c r="G1026" s="329"/>
      <c r="H1026" s="329"/>
    </row>
    <row r="1027">
      <c r="A1027" s="327"/>
      <c r="B1027" s="328"/>
      <c r="G1027" s="329"/>
      <c r="H1027" s="329"/>
    </row>
    <row r="1028">
      <c r="A1028" s="327"/>
      <c r="B1028" s="328"/>
      <c r="G1028" s="329"/>
      <c r="H1028" s="329"/>
    </row>
    <row r="1029">
      <c r="A1029" s="327"/>
      <c r="B1029" s="328"/>
      <c r="G1029" s="329"/>
      <c r="H1029" s="329"/>
    </row>
    <row r="1030">
      <c r="A1030" s="327"/>
      <c r="B1030" s="328"/>
      <c r="G1030" s="329"/>
      <c r="H1030" s="329"/>
    </row>
    <row r="1031">
      <c r="A1031" s="327"/>
      <c r="B1031" s="328"/>
      <c r="G1031" s="329"/>
      <c r="H1031" s="329"/>
    </row>
    <row r="1032">
      <c r="A1032" s="327"/>
      <c r="B1032" s="328"/>
      <c r="G1032" s="329"/>
      <c r="H1032" s="329"/>
    </row>
    <row r="1033">
      <c r="A1033" s="327"/>
      <c r="B1033" s="328"/>
      <c r="G1033" s="329"/>
      <c r="H1033" s="329"/>
    </row>
    <row r="1034">
      <c r="A1034" s="327"/>
      <c r="B1034" s="328"/>
      <c r="G1034" s="329"/>
      <c r="H1034" s="329"/>
    </row>
    <row r="1035">
      <c r="A1035" s="327"/>
      <c r="B1035" s="328"/>
      <c r="G1035" s="329"/>
      <c r="H1035" s="329"/>
    </row>
    <row r="1036">
      <c r="A1036" s="327"/>
      <c r="B1036" s="328"/>
      <c r="G1036" s="329"/>
      <c r="H1036" s="329"/>
    </row>
    <row r="1037">
      <c r="A1037" s="327"/>
      <c r="B1037" s="328"/>
      <c r="G1037" s="329"/>
      <c r="H1037" s="329"/>
    </row>
    <row r="1038">
      <c r="A1038" s="327"/>
      <c r="B1038" s="328"/>
      <c r="G1038" s="329"/>
      <c r="H1038" s="329"/>
    </row>
    <row r="1039">
      <c r="A1039" s="327"/>
      <c r="B1039" s="328"/>
      <c r="G1039" s="329"/>
      <c r="H1039" s="329"/>
    </row>
    <row r="1040">
      <c r="A1040" s="327"/>
      <c r="B1040" s="328"/>
      <c r="G1040" s="329"/>
      <c r="H1040" s="329"/>
    </row>
    <row r="1041">
      <c r="A1041" s="327"/>
      <c r="B1041" s="328"/>
      <c r="G1041" s="329"/>
      <c r="H1041" s="329"/>
    </row>
    <row r="1042">
      <c r="A1042" s="327"/>
      <c r="B1042" s="328"/>
      <c r="G1042" s="329"/>
      <c r="H1042" s="329"/>
    </row>
    <row r="1043">
      <c r="A1043" s="327"/>
      <c r="B1043" s="328"/>
      <c r="G1043" s="329"/>
      <c r="H1043" s="329"/>
    </row>
    <row r="1044">
      <c r="A1044" s="327"/>
      <c r="B1044" s="328"/>
      <c r="G1044" s="329"/>
      <c r="H1044" s="329"/>
    </row>
    <row r="1045">
      <c r="A1045" s="327"/>
      <c r="B1045" s="328"/>
      <c r="G1045" s="329"/>
      <c r="H1045" s="329"/>
    </row>
    <row r="1046">
      <c r="A1046" s="327"/>
      <c r="B1046" s="328"/>
      <c r="G1046" s="329"/>
      <c r="H1046" s="329"/>
    </row>
    <row r="1047">
      <c r="A1047" s="327"/>
      <c r="B1047" s="328"/>
      <c r="G1047" s="329"/>
      <c r="H1047" s="329"/>
    </row>
    <row r="1048">
      <c r="A1048" s="327"/>
      <c r="B1048" s="328"/>
      <c r="G1048" s="329"/>
      <c r="H1048" s="329"/>
    </row>
    <row r="1049">
      <c r="A1049" s="327"/>
      <c r="B1049" s="328"/>
      <c r="G1049" s="329"/>
      <c r="H1049" s="329"/>
    </row>
    <row r="1050">
      <c r="A1050" s="327"/>
      <c r="B1050" s="328"/>
      <c r="G1050" s="329"/>
      <c r="H1050" s="329"/>
    </row>
    <row r="1051">
      <c r="A1051" s="327"/>
      <c r="B1051" s="328"/>
      <c r="G1051" s="329"/>
      <c r="H1051" s="329"/>
    </row>
    <row r="1052">
      <c r="A1052" s="327"/>
      <c r="B1052" s="328"/>
      <c r="G1052" s="329"/>
      <c r="H1052" s="329"/>
    </row>
    <row r="1053">
      <c r="A1053" s="327"/>
      <c r="B1053" s="328"/>
      <c r="G1053" s="329"/>
      <c r="H1053" s="329"/>
    </row>
    <row r="1054">
      <c r="A1054" s="327"/>
      <c r="B1054" s="328"/>
      <c r="G1054" s="329"/>
      <c r="H1054" s="329"/>
    </row>
    <row r="1055">
      <c r="A1055" s="327"/>
      <c r="B1055" s="328"/>
      <c r="G1055" s="329"/>
      <c r="H1055" s="329"/>
    </row>
    <row r="1056">
      <c r="A1056" s="327"/>
      <c r="B1056" s="328"/>
      <c r="G1056" s="329"/>
      <c r="H1056" s="329"/>
    </row>
    <row r="1057">
      <c r="A1057" s="327"/>
      <c r="B1057" s="328"/>
      <c r="G1057" s="329"/>
      <c r="H1057" s="329"/>
    </row>
    <row r="1058">
      <c r="A1058" s="327"/>
      <c r="B1058" s="328"/>
      <c r="G1058" s="329"/>
      <c r="H1058" s="329"/>
    </row>
    <row r="1059">
      <c r="A1059" s="327"/>
      <c r="B1059" s="328"/>
      <c r="G1059" s="329"/>
      <c r="H1059" s="329"/>
    </row>
    <row r="1060">
      <c r="A1060" s="327"/>
      <c r="B1060" s="328"/>
      <c r="G1060" s="329"/>
      <c r="H1060" s="329"/>
    </row>
    <row r="1061">
      <c r="A1061" s="327"/>
      <c r="B1061" s="328"/>
      <c r="G1061" s="329"/>
      <c r="H1061" s="329"/>
    </row>
    <row r="1062">
      <c r="A1062" s="327"/>
      <c r="B1062" s="328"/>
      <c r="G1062" s="329"/>
      <c r="H1062" s="329"/>
    </row>
    <row r="1063">
      <c r="A1063" s="327"/>
      <c r="B1063" s="328"/>
      <c r="G1063" s="329"/>
      <c r="H1063" s="329"/>
    </row>
    <row r="1064">
      <c r="A1064" s="327"/>
      <c r="B1064" s="328"/>
      <c r="G1064" s="329"/>
      <c r="H1064" s="329"/>
    </row>
    <row r="1065">
      <c r="A1065" s="327"/>
      <c r="B1065" s="328"/>
      <c r="G1065" s="329"/>
      <c r="H1065" s="329"/>
    </row>
    <row r="1066">
      <c r="A1066" s="327"/>
      <c r="B1066" s="328"/>
      <c r="G1066" s="329"/>
      <c r="H1066" s="329"/>
    </row>
    <row r="1067">
      <c r="A1067" s="327"/>
      <c r="B1067" s="328"/>
      <c r="G1067" s="329"/>
      <c r="H1067" s="329"/>
    </row>
    <row r="1068">
      <c r="A1068" s="327"/>
      <c r="B1068" s="328"/>
      <c r="G1068" s="329"/>
      <c r="H1068" s="329"/>
    </row>
    <row r="1069">
      <c r="A1069" s="327"/>
      <c r="B1069" s="328"/>
      <c r="G1069" s="329"/>
      <c r="H1069" s="329"/>
    </row>
    <row r="1070">
      <c r="A1070" s="327"/>
      <c r="B1070" s="328"/>
      <c r="G1070" s="329"/>
      <c r="H1070" s="329"/>
    </row>
    <row r="1071">
      <c r="A1071" s="327"/>
      <c r="B1071" s="328"/>
      <c r="G1071" s="329"/>
      <c r="H1071" s="329"/>
    </row>
    <row r="1072">
      <c r="A1072" s="327"/>
      <c r="B1072" s="328"/>
      <c r="G1072" s="329"/>
      <c r="H1072" s="329"/>
    </row>
    <row r="1073">
      <c r="A1073" s="327"/>
      <c r="B1073" s="328"/>
      <c r="G1073" s="329"/>
      <c r="H1073" s="329"/>
    </row>
    <row r="1074">
      <c r="A1074" s="327"/>
      <c r="B1074" s="328"/>
      <c r="G1074" s="329"/>
      <c r="H1074" s="329"/>
    </row>
    <row r="1075">
      <c r="A1075" s="327"/>
      <c r="B1075" s="328"/>
      <c r="G1075" s="329"/>
      <c r="H1075" s="329"/>
    </row>
    <row r="1076">
      <c r="A1076" s="327"/>
      <c r="B1076" s="328"/>
      <c r="G1076" s="329"/>
      <c r="H1076" s="329"/>
    </row>
    <row r="1077">
      <c r="A1077" s="327"/>
      <c r="B1077" s="328"/>
      <c r="G1077" s="329"/>
      <c r="H1077" s="329"/>
    </row>
    <row r="1078">
      <c r="A1078" s="327"/>
      <c r="B1078" s="328"/>
      <c r="G1078" s="329"/>
      <c r="H1078" s="329"/>
    </row>
    <row r="1079">
      <c r="A1079" s="327"/>
      <c r="B1079" s="328"/>
      <c r="G1079" s="329"/>
      <c r="H1079" s="329"/>
    </row>
    <row r="1080">
      <c r="A1080" s="327"/>
      <c r="B1080" s="328"/>
      <c r="G1080" s="329"/>
      <c r="H1080" s="329"/>
    </row>
    <row r="1081">
      <c r="A1081" s="327"/>
      <c r="B1081" s="328"/>
      <c r="G1081" s="329"/>
      <c r="H1081" s="329"/>
    </row>
    <row r="1082">
      <c r="A1082" s="327"/>
      <c r="B1082" s="328"/>
      <c r="G1082" s="329"/>
      <c r="H1082" s="329"/>
    </row>
    <row r="1083">
      <c r="A1083" s="327"/>
      <c r="B1083" s="328"/>
      <c r="G1083" s="329"/>
      <c r="H1083" s="329"/>
    </row>
    <row r="1084">
      <c r="A1084" s="327"/>
      <c r="B1084" s="328"/>
      <c r="G1084" s="329"/>
      <c r="H1084" s="329"/>
    </row>
    <row r="1085">
      <c r="A1085" s="327"/>
      <c r="B1085" s="328"/>
      <c r="G1085" s="329"/>
      <c r="H1085" s="329"/>
    </row>
    <row r="1086">
      <c r="A1086" s="327"/>
      <c r="B1086" s="328"/>
      <c r="G1086" s="329"/>
      <c r="H1086" s="329"/>
    </row>
    <row r="1087">
      <c r="A1087" s="327"/>
      <c r="B1087" s="328"/>
      <c r="G1087" s="329"/>
      <c r="H1087" s="329"/>
    </row>
    <row r="1088">
      <c r="A1088" s="327"/>
      <c r="B1088" s="328"/>
      <c r="G1088" s="329"/>
      <c r="H1088" s="329"/>
    </row>
    <row r="1089">
      <c r="A1089" s="327"/>
      <c r="B1089" s="328"/>
      <c r="G1089" s="329"/>
      <c r="H1089" s="329"/>
    </row>
    <row r="1090">
      <c r="A1090" s="327"/>
      <c r="B1090" s="328"/>
      <c r="G1090" s="329"/>
      <c r="H1090" s="329"/>
    </row>
    <row r="1091">
      <c r="A1091" s="327"/>
      <c r="B1091" s="328"/>
      <c r="G1091" s="329"/>
      <c r="H1091" s="329"/>
    </row>
    <row r="1092">
      <c r="A1092" s="327"/>
      <c r="B1092" s="328"/>
      <c r="G1092" s="329"/>
      <c r="H1092" s="329"/>
    </row>
    <row r="1093">
      <c r="A1093" s="327"/>
      <c r="B1093" s="328"/>
      <c r="G1093" s="329"/>
      <c r="H1093" s="329"/>
    </row>
    <row r="1094">
      <c r="A1094" s="327"/>
      <c r="B1094" s="328"/>
      <c r="G1094" s="329"/>
      <c r="H1094" s="329"/>
    </row>
    <row r="1095">
      <c r="A1095" s="327"/>
      <c r="B1095" s="328"/>
      <c r="G1095" s="329"/>
      <c r="H1095" s="329"/>
    </row>
    <row r="1096">
      <c r="A1096" s="327"/>
      <c r="B1096" s="328"/>
      <c r="G1096" s="329"/>
      <c r="H1096" s="329"/>
    </row>
    <row r="1097">
      <c r="A1097" s="327"/>
      <c r="B1097" s="328"/>
      <c r="G1097" s="329"/>
      <c r="H1097" s="329"/>
    </row>
    <row r="1098">
      <c r="A1098" s="327"/>
      <c r="B1098" s="328"/>
      <c r="G1098" s="329"/>
      <c r="H1098" s="329"/>
    </row>
    <row r="1099">
      <c r="A1099" s="327"/>
      <c r="B1099" s="328"/>
      <c r="G1099" s="329"/>
      <c r="H1099" s="329"/>
    </row>
    <row r="1100">
      <c r="A1100" s="327"/>
      <c r="B1100" s="328"/>
      <c r="G1100" s="329"/>
      <c r="H1100" s="329"/>
    </row>
    <row r="1101">
      <c r="A1101" s="327"/>
      <c r="B1101" s="328"/>
      <c r="G1101" s="329"/>
      <c r="H1101" s="329"/>
    </row>
    <row r="1102">
      <c r="A1102" s="327"/>
      <c r="B1102" s="328"/>
      <c r="G1102" s="329"/>
      <c r="H1102" s="329"/>
    </row>
    <row r="1103">
      <c r="A1103" s="327"/>
      <c r="B1103" s="328"/>
      <c r="G1103" s="329"/>
      <c r="H1103" s="329"/>
    </row>
    <row r="1104">
      <c r="A1104" s="327"/>
      <c r="B1104" s="328"/>
      <c r="G1104" s="329"/>
      <c r="H1104" s="329"/>
    </row>
    <row r="1105">
      <c r="A1105" s="327"/>
      <c r="B1105" s="328"/>
      <c r="G1105" s="329"/>
      <c r="H1105" s="329"/>
    </row>
    <row r="1106">
      <c r="A1106" s="327"/>
      <c r="B1106" s="328"/>
      <c r="G1106" s="329"/>
      <c r="H1106" s="329"/>
    </row>
    <row r="1107">
      <c r="A1107" s="327"/>
      <c r="B1107" s="328"/>
      <c r="G1107" s="329"/>
      <c r="H1107" s="329"/>
    </row>
    <row r="1108">
      <c r="A1108" s="327"/>
      <c r="B1108" s="328"/>
      <c r="G1108" s="329"/>
      <c r="H1108" s="329"/>
    </row>
    <row r="1109">
      <c r="A1109" s="327"/>
      <c r="B1109" s="328"/>
      <c r="G1109" s="329"/>
      <c r="H1109" s="329"/>
    </row>
    <row r="1110">
      <c r="A1110" s="327"/>
      <c r="B1110" s="328"/>
      <c r="G1110" s="329"/>
      <c r="H1110" s="329"/>
    </row>
    <row r="1111">
      <c r="A1111" s="327"/>
      <c r="B1111" s="328"/>
      <c r="G1111" s="329"/>
      <c r="H1111" s="329"/>
    </row>
    <row r="1112">
      <c r="A1112" s="327"/>
      <c r="B1112" s="328"/>
      <c r="G1112" s="329"/>
      <c r="H1112" s="329"/>
    </row>
    <row r="1113">
      <c r="A1113" s="327"/>
      <c r="B1113" s="328"/>
      <c r="G1113" s="329"/>
      <c r="H1113" s="329"/>
    </row>
    <row r="1114">
      <c r="A1114" s="327"/>
      <c r="B1114" s="328"/>
      <c r="G1114" s="329"/>
      <c r="H1114" s="329"/>
    </row>
    <row r="1115">
      <c r="A1115" s="327"/>
      <c r="B1115" s="328"/>
      <c r="G1115" s="329"/>
      <c r="H1115" s="329"/>
    </row>
    <row r="1116">
      <c r="A1116" s="327"/>
      <c r="B1116" s="328"/>
      <c r="G1116" s="329"/>
      <c r="H1116" s="329"/>
    </row>
    <row r="1117">
      <c r="A1117" s="327"/>
      <c r="B1117" s="328"/>
      <c r="G1117" s="329"/>
      <c r="H1117" s="329"/>
    </row>
    <row r="1118">
      <c r="A1118" s="327"/>
      <c r="B1118" s="328"/>
      <c r="G1118" s="329"/>
      <c r="H1118" s="329"/>
    </row>
    <row r="1119">
      <c r="A1119" s="327"/>
      <c r="B1119" s="328"/>
      <c r="G1119" s="329"/>
      <c r="H1119" s="329"/>
    </row>
    <row r="1120">
      <c r="A1120" s="327"/>
      <c r="B1120" s="328"/>
      <c r="G1120" s="329"/>
      <c r="H1120" s="329"/>
    </row>
    <row r="1121">
      <c r="A1121" s="327"/>
      <c r="B1121" s="328"/>
      <c r="G1121" s="329"/>
      <c r="H1121" s="329"/>
    </row>
    <row r="1122">
      <c r="A1122" s="327"/>
      <c r="B1122" s="328"/>
      <c r="G1122" s="329"/>
      <c r="H1122" s="329"/>
    </row>
    <row r="1123">
      <c r="A1123" s="327"/>
      <c r="B1123" s="328"/>
      <c r="G1123" s="329"/>
      <c r="H1123" s="329"/>
    </row>
    <row r="1124">
      <c r="A1124" s="327"/>
      <c r="B1124" s="328"/>
      <c r="G1124" s="329"/>
      <c r="H1124" s="329"/>
    </row>
    <row r="1125">
      <c r="A1125" s="327"/>
      <c r="B1125" s="328"/>
      <c r="G1125" s="329"/>
      <c r="H1125" s="329"/>
    </row>
    <row r="1126">
      <c r="A1126" s="327"/>
      <c r="B1126" s="328"/>
      <c r="G1126" s="329"/>
      <c r="H1126" s="329"/>
    </row>
    <row r="1127">
      <c r="A1127" s="327"/>
      <c r="B1127" s="328"/>
      <c r="G1127" s="329"/>
      <c r="H1127" s="329"/>
    </row>
    <row r="1128">
      <c r="A1128" s="327"/>
      <c r="B1128" s="328"/>
      <c r="G1128" s="329"/>
      <c r="H1128" s="329"/>
    </row>
    <row r="1129">
      <c r="A1129" s="327"/>
      <c r="B1129" s="328"/>
      <c r="G1129" s="329"/>
      <c r="H1129" s="329"/>
    </row>
    <row r="1130">
      <c r="A1130" s="327"/>
      <c r="B1130" s="328"/>
      <c r="G1130" s="329"/>
      <c r="H1130" s="329"/>
    </row>
    <row r="1131">
      <c r="A1131" s="327"/>
      <c r="B1131" s="328"/>
      <c r="G1131" s="329"/>
      <c r="H1131" s="329"/>
    </row>
    <row r="1132">
      <c r="A1132" s="327"/>
      <c r="B1132" s="328"/>
      <c r="G1132" s="329"/>
      <c r="H1132" s="329"/>
    </row>
    <row r="1133">
      <c r="A1133" s="327"/>
      <c r="B1133" s="328"/>
      <c r="G1133" s="329"/>
      <c r="H1133" s="329"/>
    </row>
    <row r="1134">
      <c r="A1134" s="327"/>
      <c r="B1134" s="328"/>
      <c r="G1134" s="329"/>
      <c r="H1134" s="329"/>
    </row>
    <row r="1135">
      <c r="A1135" s="327"/>
      <c r="B1135" s="328"/>
      <c r="G1135" s="329"/>
      <c r="H1135" s="329"/>
    </row>
    <row r="1136">
      <c r="A1136" s="327"/>
      <c r="B1136" s="328"/>
      <c r="G1136" s="329"/>
      <c r="H1136" s="329"/>
    </row>
    <row r="1137">
      <c r="A1137" s="327"/>
      <c r="B1137" s="328"/>
      <c r="G1137" s="329"/>
      <c r="H1137" s="329"/>
    </row>
    <row r="1138">
      <c r="A1138" s="327"/>
      <c r="B1138" s="328"/>
      <c r="G1138" s="329"/>
      <c r="H1138" s="329"/>
    </row>
    <row r="1139">
      <c r="A1139" s="327"/>
      <c r="B1139" s="328"/>
      <c r="G1139" s="329"/>
      <c r="H1139" s="329"/>
    </row>
    <row r="1140">
      <c r="A1140" s="327"/>
      <c r="B1140" s="328"/>
      <c r="G1140" s="329"/>
      <c r="H1140" s="329"/>
    </row>
    <row r="1141">
      <c r="A1141" s="327"/>
      <c r="B1141" s="328"/>
      <c r="G1141" s="329"/>
      <c r="H1141" s="329"/>
    </row>
    <row r="1142">
      <c r="A1142" s="327"/>
      <c r="B1142" s="328"/>
      <c r="G1142" s="329"/>
      <c r="H1142" s="329"/>
    </row>
    <row r="1143">
      <c r="A1143" s="327"/>
      <c r="B1143" s="328"/>
      <c r="G1143" s="329"/>
      <c r="H1143" s="329"/>
    </row>
    <row r="1144">
      <c r="A1144" s="327"/>
      <c r="B1144" s="328"/>
      <c r="G1144" s="329"/>
      <c r="H1144" s="329"/>
    </row>
    <row r="1145">
      <c r="A1145" s="327"/>
      <c r="B1145" s="328"/>
      <c r="G1145" s="329"/>
      <c r="H1145" s="329"/>
    </row>
    <row r="1146">
      <c r="A1146" s="327"/>
      <c r="B1146" s="328"/>
      <c r="G1146" s="329"/>
      <c r="H1146" s="329"/>
    </row>
    <row r="1147">
      <c r="A1147" s="327"/>
      <c r="B1147" s="328"/>
      <c r="G1147" s="329"/>
      <c r="H1147" s="329"/>
    </row>
    <row r="1148">
      <c r="A1148" s="327"/>
      <c r="B1148" s="328"/>
      <c r="G1148" s="329"/>
      <c r="H1148" s="329"/>
    </row>
    <row r="1149">
      <c r="A1149" s="327"/>
      <c r="B1149" s="328"/>
      <c r="G1149" s="329"/>
      <c r="H1149" s="329"/>
    </row>
    <row r="1150">
      <c r="A1150" s="327"/>
      <c r="B1150" s="328"/>
      <c r="G1150" s="329"/>
      <c r="H1150" s="329"/>
    </row>
    <row r="1151">
      <c r="A1151" s="327"/>
      <c r="B1151" s="328"/>
      <c r="G1151" s="329"/>
      <c r="H1151" s="329"/>
    </row>
    <row r="1152">
      <c r="A1152" s="327"/>
      <c r="B1152" s="328"/>
      <c r="G1152" s="329"/>
      <c r="H1152" s="329"/>
    </row>
    <row r="1153">
      <c r="A1153" s="327"/>
      <c r="B1153" s="328"/>
      <c r="G1153" s="329"/>
      <c r="H1153" s="329"/>
    </row>
    <row r="1154">
      <c r="A1154" s="327"/>
      <c r="B1154" s="328"/>
      <c r="G1154" s="329"/>
      <c r="H1154" s="329"/>
    </row>
    <row r="1155">
      <c r="A1155" s="327"/>
      <c r="B1155" s="328"/>
      <c r="G1155" s="329"/>
      <c r="H1155" s="329"/>
    </row>
    <row r="1156">
      <c r="A1156" s="327"/>
      <c r="B1156" s="328"/>
      <c r="G1156" s="329"/>
      <c r="H1156" s="329"/>
    </row>
    <row r="1157">
      <c r="A1157" s="327"/>
      <c r="B1157" s="328"/>
      <c r="G1157" s="329"/>
      <c r="H1157" s="329"/>
    </row>
    <row r="1158">
      <c r="A1158" s="327"/>
      <c r="B1158" s="328"/>
      <c r="G1158" s="329"/>
      <c r="H1158" s="329"/>
    </row>
    <row r="1159">
      <c r="A1159" s="327"/>
      <c r="B1159" s="328"/>
      <c r="G1159" s="329"/>
      <c r="H1159" s="329"/>
    </row>
    <row r="1160">
      <c r="A1160" s="327"/>
      <c r="B1160" s="328"/>
      <c r="G1160" s="329"/>
      <c r="H1160" s="329"/>
    </row>
    <row r="1161">
      <c r="A1161" s="327"/>
      <c r="B1161" s="328"/>
      <c r="G1161" s="329"/>
      <c r="H1161" s="329"/>
    </row>
    <row r="1162">
      <c r="A1162" s="327"/>
      <c r="B1162" s="328"/>
      <c r="G1162" s="329"/>
      <c r="H1162" s="329"/>
    </row>
    <row r="1163">
      <c r="A1163" s="327"/>
      <c r="B1163" s="328"/>
      <c r="G1163" s="329"/>
      <c r="H1163" s="329"/>
    </row>
    <row r="1164">
      <c r="A1164" s="327"/>
      <c r="B1164" s="328"/>
      <c r="G1164" s="329"/>
      <c r="H1164" s="329"/>
    </row>
    <row r="1165">
      <c r="A1165" s="327"/>
      <c r="B1165" s="328"/>
      <c r="G1165" s="329"/>
      <c r="H1165" s="329"/>
    </row>
    <row r="1166">
      <c r="A1166" s="327"/>
      <c r="B1166" s="328"/>
      <c r="G1166" s="329"/>
      <c r="H1166" s="329"/>
    </row>
    <row r="1167">
      <c r="A1167" s="327"/>
      <c r="B1167" s="328"/>
      <c r="G1167" s="329"/>
      <c r="H1167" s="329"/>
    </row>
    <row r="1168">
      <c r="A1168" s="327"/>
      <c r="B1168" s="328"/>
      <c r="G1168" s="329"/>
      <c r="H1168" s="329"/>
    </row>
    <row r="1169">
      <c r="A1169" s="327"/>
      <c r="B1169" s="328"/>
      <c r="G1169" s="329"/>
      <c r="H1169" s="329"/>
    </row>
    <row r="1170">
      <c r="A1170" s="327"/>
      <c r="B1170" s="328"/>
      <c r="G1170" s="329"/>
      <c r="H1170" s="329"/>
    </row>
    <row r="1171">
      <c r="A1171" s="327"/>
      <c r="B1171" s="328"/>
      <c r="G1171" s="329"/>
      <c r="H1171" s="329"/>
    </row>
    <row r="1172">
      <c r="A1172" s="327"/>
      <c r="B1172" s="328"/>
      <c r="G1172" s="329"/>
      <c r="H1172" s="329"/>
    </row>
    <row r="1173">
      <c r="A1173" s="327"/>
      <c r="B1173" s="328"/>
      <c r="G1173" s="329"/>
      <c r="H1173" s="329"/>
    </row>
    <row r="1174">
      <c r="A1174" s="327"/>
      <c r="B1174" s="328"/>
      <c r="G1174" s="329"/>
      <c r="H1174" s="329"/>
    </row>
    <row r="1175">
      <c r="A1175" s="327"/>
      <c r="B1175" s="328"/>
      <c r="G1175" s="329"/>
      <c r="H1175" s="329"/>
    </row>
    <row r="1176">
      <c r="A1176" s="327"/>
      <c r="B1176" s="328"/>
      <c r="G1176" s="329"/>
      <c r="H1176" s="329"/>
    </row>
    <row r="1177">
      <c r="A1177" s="327"/>
      <c r="B1177" s="328"/>
      <c r="G1177" s="329"/>
      <c r="H1177" s="329"/>
    </row>
    <row r="1178">
      <c r="A1178" s="327"/>
      <c r="B1178" s="328"/>
      <c r="G1178" s="329"/>
      <c r="H1178" s="329"/>
    </row>
    <row r="1179">
      <c r="A1179" s="327"/>
      <c r="B1179" s="328"/>
      <c r="G1179" s="329"/>
      <c r="H1179" s="329"/>
    </row>
    <row r="1180">
      <c r="A1180" s="327"/>
      <c r="B1180" s="328"/>
      <c r="G1180" s="329"/>
      <c r="H1180" s="329"/>
    </row>
    <row r="1181">
      <c r="A1181" s="327"/>
      <c r="B1181" s="328"/>
      <c r="G1181" s="329"/>
      <c r="H1181" s="329"/>
    </row>
    <row r="1182">
      <c r="A1182" s="327"/>
      <c r="B1182" s="328"/>
      <c r="G1182" s="329"/>
      <c r="H1182" s="329"/>
    </row>
    <row r="1183">
      <c r="A1183" s="327"/>
      <c r="B1183" s="328"/>
      <c r="G1183" s="329"/>
      <c r="H1183" s="329"/>
    </row>
    <row r="1184">
      <c r="A1184" s="327"/>
      <c r="B1184" s="328"/>
      <c r="G1184" s="329"/>
      <c r="H1184" s="329"/>
    </row>
    <row r="1185">
      <c r="A1185" s="327"/>
      <c r="B1185" s="328"/>
      <c r="G1185" s="329"/>
      <c r="H1185" s="329"/>
    </row>
    <row r="1186">
      <c r="A1186" s="327"/>
      <c r="B1186" s="328"/>
      <c r="G1186" s="329"/>
      <c r="H1186" s="329"/>
    </row>
    <row r="1187">
      <c r="A1187" s="327"/>
      <c r="B1187" s="328"/>
      <c r="G1187" s="329"/>
      <c r="H1187" s="329"/>
    </row>
    <row r="1188">
      <c r="A1188" s="327"/>
      <c r="B1188" s="328"/>
      <c r="G1188" s="329"/>
      <c r="H1188" s="329"/>
    </row>
    <row r="1189">
      <c r="A1189" s="327"/>
      <c r="B1189" s="328"/>
      <c r="G1189" s="329"/>
      <c r="H1189" s="329"/>
    </row>
    <row r="1190">
      <c r="A1190" s="327"/>
      <c r="B1190" s="328"/>
      <c r="G1190" s="329"/>
      <c r="H1190" s="329"/>
    </row>
    <row r="1191">
      <c r="A1191" s="327"/>
      <c r="B1191" s="328"/>
      <c r="G1191" s="329"/>
      <c r="H1191" s="329"/>
    </row>
    <row r="1192">
      <c r="A1192" s="327"/>
      <c r="B1192" s="328"/>
      <c r="G1192" s="329"/>
      <c r="H1192" s="329"/>
    </row>
    <row r="1193">
      <c r="A1193" s="327"/>
      <c r="B1193" s="328"/>
      <c r="G1193" s="329"/>
      <c r="H1193" s="329"/>
    </row>
    <row r="1194">
      <c r="A1194" s="327"/>
      <c r="B1194" s="328"/>
      <c r="G1194" s="329"/>
      <c r="H1194" s="329"/>
    </row>
    <row r="1195">
      <c r="A1195" s="327"/>
      <c r="B1195" s="328"/>
      <c r="G1195" s="329"/>
      <c r="H1195" s="329"/>
    </row>
    <row r="1196">
      <c r="A1196" s="327"/>
      <c r="B1196" s="328"/>
      <c r="G1196" s="329"/>
      <c r="H1196" s="329"/>
    </row>
    <row r="1197">
      <c r="A1197" s="327"/>
      <c r="B1197" s="328"/>
      <c r="G1197" s="329"/>
      <c r="H1197" s="329"/>
    </row>
    <row r="1198">
      <c r="A1198" s="327"/>
      <c r="B1198" s="328"/>
      <c r="G1198" s="329"/>
      <c r="H1198" s="329"/>
    </row>
    <row r="1199">
      <c r="A1199" s="327"/>
      <c r="B1199" s="328"/>
      <c r="G1199" s="329"/>
      <c r="H1199" s="329"/>
    </row>
    <row r="1200">
      <c r="A1200" s="327"/>
      <c r="B1200" s="328"/>
      <c r="G1200" s="329"/>
      <c r="H1200" s="329"/>
    </row>
    <row r="1201">
      <c r="A1201" s="327"/>
      <c r="B1201" s="328"/>
      <c r="G1201" s="329"/>
      <c r="H1201" s="329"/>
    </row>
    <row r="1202">
      <c r="A1202" s="327"/>
      <c r="B1202" s="328"/>
      <c r="G1202" s="329"/>
      <c r="H1202" s="329"/>
    </row>
    <row r="1203">
      <c r="A1203" s="327"/>
      <c r="B1203" s="328"/>
      <c r="G1203" s="329"/>
      <c r="H1203" s="329"/>
    </row>
    <row r="1204">
      <c r="A1204" s="327"/>
      <c r="B1204" s="328"/>
      <c r="G1204" s="329"/>
      <c r="H1204" s="329"/>
    </row>
    <row r="1205">
      <c r="A1205" s="327"/>
      <c r="B1205" s="328"/>
      <c r="G1205" s="329"/>
      <c r="H1205" s="329"/>
    </row>
    <row r="1206">
      <c r="A1206" s="327"/>
      <c r="B1206" s="328"/>
      <c r="G1206" s="329"/>
      <c r="H1206" s="329"/>
    </row>
    <row r="1207">
      <c r="A1207" s="327"/>
      <c r="B1207" s="328"/>
      <c r="G1207" s="329"/>
      <c r="H1207" s="329"/>
    </row>
    <row r="1208">
      <c r="A1208" s="327"/>
      <c r="B1208" s="328"/>
      <c r="G1208" s="329"/>
      <c r="H1208" s="329"/>
    </row>
    <row r="1209">
      <c r="A1209" s="327"/>
      <c r="B1209" s="328"/>
      <c r="G1209" s="329"/>
      <c r="H1209" s="329"/>
    </row>
    <row r="1210">
      <c r="A1210" s="327"/>
      <c r="B1210" s="328"/>
      <c r="G1210" s="329"/>
      <c r="H1210" s="329"/>
    </row>
    <row r="1211">
      <c r="A1211" s="327"/>
      <c r="B1211" s="328"/>
      <c r="G1211" s="329"/>
      <c r="H1211" s="329"/>
    </row>
    <row r="1212">
      <c r="A1212" s="327"/>
      <c r="B1212" s="328"/>
      <c r="G1212" s="329"/>
      <c r="H1212" s="329"/>
    </row>
    <row r="1213">
      <c r="A1213" s="327"/>
      <c r="B1213" s="328"/>
      <c r="G1213" s="329"/>
      <c r="H1213" s="329"/>
    </row>
    <row r="1214">
      <c r="A1214" s="327"/>
      <c r="B1214" s="328"/>
      <c r="G1214" s="329"/>
      <c r="H1214" s="329"/>
    </row>
    <row r="1215">
      <c r="A1215" s="327"/>
      <c r="B1215" s="328"/>
      <c r="G1215" s="329"/>
      <c r="H1215" s="329"/>
    </row>
    <row r="1216">
      <c r="A1216" s="327"/>
      <c r="B1216" s="328"/>
      <c r="G1216" s="329"/>
      <c r="H1216" s="329"/>
    </row>
    <row r="1217">
      <c r="A1217" s="327"/>
      <c r="B1217" s="328"/>
      <c r="G1217" s="329"/>
      <c r="H1217" s="329"/>
    </row>
    <row r="1218">
      <c r="A1218" s="327"/>
      <c r="B1218" s="328"/>
      <c r="G1218" s="329"/>
      <c r="H1218" s="329"/>
    </row>
    <row r="1219">
      <c r="A1219" s="327"/>
      <c r="B1219" s="328"/>
      <c r="G1219" s="329"/>
      <c r="H1219" s="329"/>
    </row>
    <row r="1220">
      <c r="A1220" s="327"/>
      <c r="B1220" s="328"/>
      <c r="G1220" s="329"/>
      <c r="H1220" s="329"/>
    </row>
    <row r="1221">
      <c r="A1221" s="327"/>
      <c r="B1221" s="328"/>
      <c r="G1221" s="329"/>
      <c r="H1221" s="329"/>
    </row>
    <row r="1222">
      <c r="A1222" s="327"/>
      <c r="B1222" s="328"/>
      <c r="G1222" s="329"/>
      <c r="H1222" s="329"/>
    </row>
    <row r="1223">
      <c r="A1223" s="327"/>
      <c r="B1223" s="328"/>
      <c r="G1223" s="329"/>
      <c r="H1223" s="329"/>
    </row>
    <row r="1224">
      <c r="A1224" s="327"/>
      <c r="B1224" s="328"/>
      <c r="G1224" s="329"/>
      <c r="H1224" s="329"/>
    </row>
    <row r="1225">
      <c r="A1225" s="327"/>
      <c r="B1225" s="328"/>
      <c r="G1225" s="329"/>
      <c r="H1225" s="329"/>
    </row>
    <row r="1226">
      <c r="A1226" s="327"/>
      <c r="B1226" s="328"/>
      <c r="G1226" s="329"/>
      <c r="H1226" s="329"/>
    </row>
    <row r="1227">
      <c r="A1227" s="327"/>
      <c r="B1227" s="328"/>
      <c r="G1227" s="329"/>
      <c r="H1227" s="329"/>
    </row>
    <row r="1228">
      <c r="A1228" s="327"/>
      <c r="B1228" s="328"/>
      <c r="G1228" s="329"/>
      <c r="H1228" s="329"/>
    </row>
    <row r="1229">
      <c r="A1229" s="327"/>
      <c r="B1229" s="328"/>
      <c r="G1229" s="329"/>
      <c r="H1229" s="329"/>
    </row>
    <row r="1230">
      <c r="A1230" s="327"/>
      <c r="B1230" s="328"/>
      <c r="G1230" s="329"/>
      <c r="H1230" s="329"/>
    </row>
    <row r="1231">
      <c r="A1231" s="327"/>
      <c r="B1231" s="328"/>
      <c r="G1231" s="329"/>
      <c r="H1231" s="329"/>
    </row>
    <row r="1232">
      <c r="A1232" s="327"/>
      <c r="B1232" s="328"/>
      <c r="G1232" s="329"/>
      <c r="H1232" s="329"/>
    </row>
    <row r="1233">
      <c r="A1233" s="327"/>
      <c r="B1233" s="328"/>
      <c r="G1233" s="329"/>
      <c r="H1233" s="329"/>
    </row>
    <row r="1234">
      <c r="A1234" s="327"/>
      <c r="B1234" s="328"/>
      <c r="G1234" s="329"/>
      <c r="H1234" s="329"/>
    </row>
    <row r="1235">
      <c r="A1235" s="327"/>
      <c r="B1235" s="328"/>
      <c r="G1235" s="329"/>
      <c r="H1235" s="329"/>
    </row>
    <row r="1236">
      <c r="A1236" s="327"/>
      <c r="B1236" s="328"/>
      <c r="G1236" s="329"/>
      <c r="H1236" s="329"/>
    </row>
    <row r="1237">
      <c r="A1237" s="327"/>
      <c r="B1237" s="328"/>
      <c r="G1237" s="329"/>
      <c r="H1237" s="329"/>
    </row>
    <row r="1238">
      <c r="A1238" s="327"/>
      <c r="B1238" s="328"/>
      <c r="G1238" s="329"/>
      <c r="H1238" s="329"/>
    </row>
  </sheetData>
  <mergeCells count="2">
    <mergeCell ref="A2:V2"/>
    <mergeCell ref="Q4:V4"/>
  </mergeCells>
  <dataValidations>
    <dataValidation type="list" allowBlank="1" showErrorMessage="1" sqref="D6:D365">
      <formula1>Legend!$D$2:$D$16</formula1>
    </dataValidation>
    <dataValidation type="list" allowBlank="1" showErrorMessage="1" sqref="I6:J365">
      <formula1>Legend!$C$2:$C$18</formula1>
    </dataValidation>
    <dataValidation type="list" allowBlank="1" showErrorMessage="1" sqref="C6:C365">
      <formula1>Legend!$A$2:$A$17</formula1>
    </dataValidation>
    <dataValidation type="list" allowBlank="1" showErrorMessage="1" sqref="R273">
      <formula1>Legend!$I$2:$I$10</formula1>
    </dataValidation>
    <dataValidation type="list" allowBlank="1" showErrorMessage="1" sqref="K6:K365">
      <formula1>Legend!$G$2:$G$12</formula1>
    </dataValidation>
    <dataValidation type="list" allowBlank="1" showErrorMessage="1" sqref="N6:N365">
      <formula1>Legend!$H$2:$H$10</formula1>
    </dataValidation>
    <dataValidation type="list" allowBlank="1" showErrorMessage="1" sqref="P6:P365">
      <formula1>Legend!$F$2:$F$8</formula1>
    </dataValidation>
    <dataValidation type="list" allowBlank="1" showErrorMessage="1" sqref="E6:E365">
      <formula1>Legend!$E$2:$E$11</formula1>
    </dataValidation>
    <dataValidation type="list" allowBlank="1" showErrorMessage="1" sqref="R6:R272 R274:R365 U6:U365">
      <formula1>Legend!$I$2:$I$13</formula1>
    </dataValidation>
    <dataValidation type="list" allowBlank="1" showErrorMessage="1" sqref="O6:O365 S6:S365">
      <formula1>Legend!$D$2:$D$7</formula1>
    </dataValidation>
    <dataValidation type="list" allowBlank="1" showErrorMessage="1" sqref="F6:F365">
      <formula1>Legend!$F$2:$F$9</formula1>
    </dataValidation>
  </dataValidations>
  <hyperlinks>
    <hyperlink r:id="rId1" ref="A5"/>
  </hyperlinks>
  <drawing r:id="rId2"/>
  <tableParts count="1">
    <tablePart r:id="rId4"/>
  </tableParts>
</worksheet>
</file>